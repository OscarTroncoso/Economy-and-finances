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oscar\Desktop\University\Tercer Semestre\Finanzas Internacionales\"/>
    </mc:Choice>
  </mc:AlternateContent>
  <xr:revisionPtr revIDLastSave="0" documentId="13_ncr:1_{0D095072-49CF-48F4-AA82-7DE0A661B561}" xr6:coauthVersionLast="46" xr6:coauthVersionMax="46" xr10:uidLastSave="{00000000-0000-0000-0000-000000000000}"/>
  <bookViews>
    <workbookView xWindow="-108" yWindow="-108" windowWidth="23256" windowHeight="12576" xr2:uid="{1966C251-371E-4855-B414-88167068CA50}"/>
  </bookViews>
  <sheets>
    <sheet name="Calculadora" sheetId="1" r:id="rId1"/>
    <sheet name="Operaciones"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4" i="1" l="1"/>
  <c r="B15" i="1"/>
  <c r="B16" i="1"/>
  <c r="B17" i="1"/>
  <c r="B18" i="1"/>
  <c r="B19" i="1"/>
  <c r="B20" i="1"/>
  <c r="B21" i="1"/>
  <c r="B22" i="1"/>
  <c r="B13" i="1"/>
  <c r="H9" i="2" l="1"/>
  <c r="D2" i="2"/>
  <c r="H8" i="2" s="1"/>
  <c r="H7" i="2" l="1"/>
  <c r="D10" i="2" s="1"/>
  <c r="C8" i="1" s="1"/>
  <c r="E14" i="1" l="1"/>
  <c r="E22" i="1"/>
  <c r="E18" i="1"/>
  <c r="E19" i="1"/>
  <c r="E15" i="1"/>
  <c r="E16" i="1"/>
  <c r="E17" i="1"/>
  <c r="E20" i="1"/>
  <c r="E21" i="1"/>
  <c r="C14" i="1"/>
  <c r="C22" i="1"/>
  <c r="C18" i="1"/>
  <c r="C20" i="1"/>
  <c r="C15" i="1"/>
  <c r="C13" i="1"/>
  <c r="C16" i="1"/>
  <c r="C17" i="1"/>
  <c r="C19" i="1"/>
  <c r="C21" i="1"/>
  <c r="E5" i="2"/>
  <c r="E13" i="1"/>
  <c r="E6" i="2"/>
  <c r="H3" i="2" l="1"/>
  <c r="D12" i="2"/>
  <c r="C9" i="1" s="1"/>
  <c r="H2" i="2"/>
  <c r="D14" i="2" l="1"/>
  <c r="C10" i="1" s="1"/>
</calcChain>
</file>

<file path=xl/sharedStrings.xml><?xml version="1.0" encoding="utf-8"?>
<sst xmlns="http://schemas.openxmlformats.org/spreadsheetml/2006/main" count="45" uniqueCount="29">
  <si>
    <t>Día</t>
  </si>
  <si>
    <t>Semestre</t>
  </si>
  <si>
    <t>Trimestre</t>
  </si>
  <si>
    <t>Cuatrimestre</t>
  </si>
  <si>
    <t>Bimestre</t>
  </si>
  <si>
    <t>Mes</t>
  </si>
  <si>
    <t>Quincena</t>
  </si>
  <si>
    <t>Semana</t>
  </si>
  <si>
    <t>9 Meses</t>
  </si>
  <si>
    <t>Año</t>
  </si>
  <si>
    <t>Conversor de Tasas de Interés</t>
  </si>
  <si>
    <t>Periodo</t>
  </si>
  <si>
    <t>Naturaleza</t>
  </si>
  <si>
    <t>Tasa Inicial %</t>
  </si>
  <si>
    <t>Vencida</t>
  </si>
  <si>
    <t>Anticipada</t>
  </si>
  <si>
    <t>Valor</t>
  </si>
  <si>
    <t>Efectiva Anual</t>
  </si>
  <si>
    <t>Tiempo</t>
  </si>
  <si>
    <t>Actual</t>
  </si>
  <si>
    <t>Convertir A</t>
  </si>
  <si>
    <t>IEA</t>
  </si>
  <si>
    <t>Tasa Convertida</t>
  </si>
  <si>
    <t>Plazos "Actual"</t>
  </si>
  <si>
    <t>Plazos "Convertida"</t>
  </si>
  <si>
    <t>Tasa Plazos "Convertida"</t>
  </si>
  <si>
    <t>Nombre</t>
  </si>
  <si>
    <t>Se muestra una tabla con los valores del plazo al que se desea convertir en diferentes tiempos en su tasa convertida, el valor resaltado en verde corresponde al plazo seleccionado con su valor correspondiente.</t>
  </si>
  <si>
    <t>Tasa a Plazos "Convertida"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</si>
</sst>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164" formatCode="0.000%"/>
    <numFmt numFmtId="165" formatCode="0.0000%"/>
  </numFmts>
  <fonts count="4" x14ac:knownFonts="1">
    <font>
      <sz val="11"/>
      <color theme="1"/>
      <name val="Calibri"/>
      <family val="2"/>
      <scheme val="minor"/>
    </font>
    <font>
      <sz val="11"/>
      <color theme="1"/>
      <name val="Calibri"/>
      <family val="2"/>
      <scheme val="minor"/>
    </font>
    <font>
      <b/>
      <sz val="11"/>
      <color theme="1"/>
      <name val="Calibri"/>
      <family val="2"/>
      <scheme val="minor"/>
    </font>
    <font>
      <sz val="11"/>
      <color rgb="FF000000"/>
      <name val="Calibri"/>
      <family val="2"/>
    </font>
  </fonts>
  <fills count="4">
    <fill>
      <patternFill patternType="none"/>
    </fill>
    <fill>
      <patternFill patternType="gray125"/>
    </fill>
    <fill>
      <patternFill patternType="solid">
        <fgColor theme="4" tint="0.59999389629810485"/>
        <bgColor indexed="64"/>
      </patternFill>
    </fill>
    <fill>
      <patternFill patternType="solid">
        <fgColor theme="5" tint="0.59999389629810485"/>
        <bgColor indexed="64"/>
      </patternFill>
    </fill>
  </fills>
  <borders count="9">
    <border>
      <left/>
      <right/>
      <top/>
      <bottom/>
      <diagonal/>
    </border>
    <border>
      <left/>
      <right/>
      <top/>
      <bottom style="medium">
        <color indexed="64"/>
      </bottom>
      <diagonal/>
    </border>
    <border>
      <left/>
      <right/>
      <top style="thin">
        <color indexed="64"/>
      </top>
      <bottom style="thin">
        <color indexed="64"/>
      </bottom>
      <diagonal/>
    </border>
    <border>
      <left/>
      <right/>
      <top style="thin">
        <color indexed="64"/>
      </top>
      <bottom style="medium">
        <color indexed="64"/>
      </bottom>
      <diagonal/>
    </border>
    <border>
      <left/>
      <right/>
      <top style="medium">
        <color indexed="64"/>
      </top>
      <bottom style="thin">
        <color indexed="64"/>
      </bottom>
      <diagonal/>
    </border>
    <border>
      <left/>
      <right/>
      <top style="thin">
        <color indexed="64"/>
      </top>
      <bottom/>
      <diagonal/>
    </border>
    <border>
      <left/>
      <right/>
      <top style="medium">
        <color indexed="64"/>
      </top>
      <bottom style="medium">
        <color indexed="64"/>
      </bottom>
      <diagonal/>
    </border>
    <border>
      <left/>
      <right/>
      <top/>
      <bottom style="thin">
        <color indexed="64"/>
      </bottom>
      <diagonal/>
    </border>
    <border>
      <left/>
      <right/>
      <top style="medium">
        <color indexed="64"/>
      </top>
      <bottom/>
      <diagonal/>
    </border>
  </borders>
  <cellStyleXfs count="3">
    <xf numFmtId="0" fontId="0" fillId="0" borderId="0"/>
    <xf numFmtId="44" fontId="1" fillId="0" borderId="0" applyFont="0" applyFill="0" applyBorder="0" applyAlignment="0" applyProtection="0"/>
    <xf numFmtId="9" fontId="1" fillId="0" borderId="0" applyFont="0" applyFill="0" applyBorder="0" applyAlignment="0" applyProtection="0"/>
  </cellStyleXfs>
  <cellXfs count="43">
    <xf numFmtId="0" fontId="0" fillId="0" borderId="0" xfId="0"/>
    <xf numFmtId="0" fontId="0" fillId="0" borderId="1" xfId="0" applyBorder="1"/>
    <xf numFmtId="0" fontId="0" fillId="0" borderId="0" xfId="0" applyAlignment="1">
      <alignment horizontal="center"/>
    </xf>
    <xf numFmtId="0" fontId="0" fillId="0" borderId="2" xfId="0" applyBorder="1"/>
    <xf numFmtId="0" fontId="0" fillId="0" borderId="2" xfId="0" applyBorder="1" applyAlignment="1">
      <alignment horizontal="center"/>
    </xf>
    <xf numFmtId="0" fontId="0" fillId="0" borderId="3" xfId="0" applyBorder="1"/>
    <xf numFmtId="0" fontId="0" fillId="0" borderId="3" xfId="0" applyBorder="1" applyAlignment="1">
      <alignment horizontal="center"/>
    </xf>
    <xf numFmtId="0" fontId="0" fillId="0" borderId="1" xfId="0" applyBorder="1" applyAlignment="1"/>
    <xf numFmtId="0" fontId="0" fillId="0" borderId="0" xfId="0" applyFont="1"/>
    <xf numFmtId="0" fontId="2" fillId="2" borderId="1" xfId="0" applyFont="1" applyFill="1" applyBorder="1" applyAlignment="1">
      <alignment horizontal="center"/>
    </xf>
    <xf numFmtId="0" fontId="0" fillId="0" borderId="7" xfId="0" applyBorder="1"/>
    <xf numFmtId="0" fontId="0" fillId="0" borderId="0" xfId="0" applyBorder="1"/>
    <xf numFmtId="44" fontId="2" fillId="3" borderId="0" xfId="1" applyFont="1" applyFill="1" applyBorder="1" applyAlignment="1"/>
    <xf numFmtId="44" fontId="2" fillId="3" borderId="1" xfId="1" applyFont="1" applyFill="1" applyBorder="1" applyAlignment="1">
      <alignment horizontal="left"/>
    </xf>
    <xf numFmtId="44" fontId="2" fillId="3" borderId="2" xfId="1" applyFont="1" applyFill="1" applyBorder="1" applyAlignment="1">
      <alignment horizontal="left"/>
    </xf>
    <xf numFmtId="0" fontId="2" fillId="2" borderId="1" xfId="0" applyFont="1" applyFill="1" applyBorder="1"/>
    <xf numFmtId="164" fontId="0" fillId="0" borderId="4" xfId="2" applyNumberFormat="1" applyFont="1" applyBorder="1" applyAlignment="1"/>
    <xf numFmtId="0" fontId="0" fillId="0" borderId="4" xfId="0" applyBorder="1" applyAlignment="1"/>
    <xf numFmtId="165" fontId="0" fillId="0" borderId="4" xfId="2" applyNumberFormat="1" applyFont="1" applyBorder="1" applyAlignment="1"/>
    <xf numFmtId="10" fontId="0" fillId="0" borderId="3" xfId="0" applyNumberFormat="1" applyBorder="1"/>
    <xf numFmtId="0" fontId="0" fillId="0" borderId="5" xfId="0" applyBorder="1"/>
    <xf numFmtId="164" fontId="0" fillId="0" borderId="5" xfId="0" applyNumberFormat="1" applyBorder="1"/>
    <xf numFmtId="165" fontId="0" fillId="0" borderId="3" xfId="2" applyNumberFormat="1" applyFont="1" applyBorder="1"/>
    <xf numFmtId="165" fontId="0" fillId="0" borderId="0" xfId="2" applyNumberFormat="1" applyFont="1"/>
    <xf numFmtId="44" fontId="2" fillId="3" borderId="1" xfId="0" applyNumberFormat="1" applyFont="1" applyFill="1" applyBorder="1" applyAlignment="1">
      <alignment horizontal="center"/>
    </xf>
    <xf numFmtId="0" fontId="0" fillId="0" borderId="0" xfId="0" applyAlignment="1">
      <alignment horizontal="center" vertical="center" wrapText="1"/>
    </xf>
    <xf numFmtId="165" fontId="0" fillId="0" borderId="2" xfId="2" applyNumberFormat="1" applyFont="1" applyBorder="1" applyAlignment="1">
      <alignment horizontal="center"/>
    </xf>
    <xf numFmtId="165" fontId="0" fillId="0" borderId="3" xfId="2" applyNumberFormat="1" applyFont="1" applyBorder="1" applyAlignment="1">
      <alignment horizontal="center"/>
    </xf>
    <xf numFmtId="44" fontId="2" fillId="3" borderId="1" xfId="0" applyNumberFormat="1" applyFont="1" applyFill="1" applyBorder="1" applyAlignment="1">
      <alignment horizontal="center"/>
    </xf>
    <xf numFmtId="165" fontId="0" fillId="0" borderId="8" xfId="2" applyNumberFormat="1" applyFont="1" applyBorder="1" applyAlignment="1">
      <alignment horizontal="center"/>
    </xf>
    <xf numFmtId="0" fontId="2" fillId="2" borderId="0" xfId="0" applyFont="1" applyFill="1" applyBorder="1" applyAlignment="1">
      <alignment horizontal="center"/>
    </xf>
    <xf numFmtId="165" fontId="0" fillId="0" borderId="0" xfId="0" applyNumberFormat="1" applyBorder="1" applyAlignment="1">
      <alignment horizontal="center"/>
    </xf>
    <xf numFmtId="165" fontId="0" fillId="0" borderId="7" xfId="2" applyNumberFormat="1" applyFont="1" applyBorder="1" applyAlignment="1">
      <alignment horizontal="center"/>
    </xf>
    <xf numFmtId="165" fontId="2" fillId="0" borderId="1" xfId="2" applyNumberFormat="1" applyFont="1" applyFill="1" applyBorder="1" applyAlignment="1">
      <alignment horizontal="center"/>
    </xf>
    <xf numFmtId="0" fontId="2" fillId="2" borderId="1" xfId="0" applyFont="1" applyFill="1" applyBorder="1" applyAlignment="1">
      <alignment horizontal="center"/>
    </xf>
    <xf numFmtId="0" fontId="0" fillId="0" borderId="4" xfId="0" applyBorder="1" applyAlignment="1" applyProtection="1">
      <alignment horizontal="center"/>
      <protection locked="0"/>
    </xf>
    <xf numFmtId="0" fontId="0" fillId="0" borderId="3" xfId="0" applyBorder="1" applyAlignment="1" applyProtection="1">
      <alignment horizontal="center"/>
      <protection locked="0"/>
    </xf>
    <xf numFmtId="165" fontId="0" fillId="0" borderId="7" xfId="2" applyNumberFormat="1" applyFont="1" applyBorder="1" applyAlignment="1" applyProtection="1">
      <alignment horizontal="center"/>
      <protection locked="0"/>
    </xf>
    <xf numFmtId="0" fontId="0" fillId="0" borderId="2" xfId="0" applyBorder="1" applyAlignment="1" applyProtection="1">
      <alignment horizontal="center"/>
      <protection locked="0"/>
    </xf>
    <xf numFmtId="0" fontId="2" fillId="3" borderId="1" xfId="0" applyFont="1" applyFill="1" applyBorder="1" applyAlignment="1">
      <alignment horizontal="center"/>
    </xf>
    <xf numFmtId="164" fontId="0" fillId="0" borderId="6" xfId="2" applyNumberFormat="1" applyFont="1" applyBorder="1" applyAlignment="1">
      <alignment horizontal="center"/>
    </xf>
    <xf numFmtId="165" fontId="1" fillId="0" borderId="2" xfId="2" applyNumberFormat="1" applyFont="1" applyFill="1" applyBorder="1" applyAlignment="1">
      <alignment horizontal="center"/>
    </xf>
    <xf numFmtId="165" fontId="1" fillId="0" borderId="7" xfId="2" applyNumberFormat="1" applyFont="1" applyFill="1" applyBorder="1" applyAlignment="1">
      <alignment horizontal="center"/>
    </xf>
  </cellXfs>
  <cellStyles count="3">
    <cellStyle name="Currency" xfId="1" builtinId="4"/>
    <cellStyle name="Normal" xfId="0" builtinId="0"/>
    <cellStyle name="Percent" xfId="2" builtinId="5"/>
  </cellStyles>
  <dxfs count="1">
    <dxf>
      <font>
        <b/>
        <i val="0"/>
        <color rgb="FF00B050"/>
      </font>
      <fill>
        <patternFill patternType="none">
          <fgColor indexed="64"/>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266700</xdr:colOff>
          <xdr:row>7</xdr:row>
          <xdr:rowOff>175260</xdr:rowOff>
        </xdr:from>
        <xdr:to>
          <xdr:col>6</xdr:col>
          <xdr:colOff>205740</xdr:colOff>
          <xdr:row>10</xdr:row>
          <xdr:rowOff>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Limpiar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266700</xdr:colOff>
          <xdr:row>5</xdr:row>
          <xdr:rowOff>114300</xdr:rowOff>
        </xdr:from>
        <xdr:to>
          <xdr:col>6</xdr:col>
          <xdr:colOff>205740</xdr:colOff>
          <xdr:row>7</xdr:row>
          <xdr:rowOff>121920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Calcular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39790E-56E5-4679-B923-4640E4C6BA3F}">
  <sheetPr codeName="Sheet1"/>
  <dimension ref="B2:L24"/>
  <sheetViews>
    <sheetView showGridLines="0" tabSelected="1" workbookViewId="0">
      <selection activeCell="C5" sqref="C5:D5"/>
    </sheetView>
  </sheetViews>
  <sheetFormatPr defaultRowHeight="14.4" x14ac:dyDescent="0.3"/>
  <cols>
    <col min="2" max="2" width="23.5546875" bestFit="1" customWidth="1"/>
    <col min="3" max="3" width="9.109375" bestFit="1" customWidth="1"/>
    <col min="4" max="4" width="13.6640625" bestFit="1" customWidth="1"/>
    <col min="5" max="5" width="10.44140625" bestFit="1" customWidth="1"/>
  </cols>
  <sheetData>
    <row r="2" spans="2:12" x14ac:dyDescent="0.3">
      <c r="B2" s="30" t="s">
        <v>10</v>
      </c>
      <c r="C2" s="30"/>
      <c r="D2" s="30"/>
      <c r="E2" s="30"/>
      <c r="F2" s="30"/>
      <c r="G2" s="30"/>
    </row>
    <row r="3" spans="2:12" ht="15" thickBot="1" x14ac:dyDescent="0.35">
      <c r="B3" s="34" t="s">
        <v>19</v>
      </c>
      <c r="C3" s="34"/>
      <c r="D3" s="34"/>
      <c r="E3" s="34" t="s">
        <v>20</v>
      </c>
      <c r="F3" s="34"/>
      <c r="G3" s="34"/>
    </row>
    <row r="4" spans="2:12" x14ac:dyDescent="0.3">
      <c r="B4" t="s">
        <v>13</v>
      </c>
      <c r="C4" s="37">
        <v>4.7500000000000001E-2</v>
      </c>
      <c r="D4" s="37"/>
      <c r="E4" s="10" t="s">
        <v>11</v>
      </c>
      <c r="F4" s="35" t="s">
        <v>2</v>
      </c>
      <c r="G4" s="35"/>
    </row>
    <row r="5" spans="2:12" ht="15" thickBot="1" x14ac:dyDescent="0.35">
      <c r="B5" s="3" t="s">
        <v>11</v>
      </c>
      <c r="C5" s="38" t="s">
        <v>1</v>
      </c>
      <c r="D5" s="38"/>
      <c r="E5" s="7" t="s">
        <v>12</v>
      </c>
      <c r="F5" s="36" t="s">
        <v>14</v>
      </c>
      <c r="G5" s="36"/>
    </row>
    <row r="6" spans="2:12" ht="15" thickBot="1" x14ac:dyDescent="0.35">
      <c r="B6" s="7" t="s">
        <v>12</v>
      </c>
      <c r="C6" s="36" t="s">
        <v>15</v>
      </c>
      <c r="D6" s="36"/>
    </row>
    <row r="8" spans="2:12" x14ac:dyDescent="0.3">
      <c r="B8" s="12" t="s">
        <v>21</v>
      </c>
      <c r="C8" s="32">
        <f>Operaciones!D10</f>
        <v>4.9247410900041366E-2</v>
      </c>
      <c r="D8" s="32"/>
    </row>
    <row r="9" spans="2:12" x14ac:dyDescent="0.3">
      <c r="B9" s="14" t="s">
        <v>25</v>
      </c>
      <c r="C9" s="26">
        <f>Operaciones!D12</f>
        <v>1.2090798738515041E-2</v>
      </c>
      <c r="D9" s="26"/>
    </row>
    <row r="10" spans="2:12" ht="15" thickBot="1" x14ac:dyDescent="0.35">
      <c r="B10" s="13" t="s">
        <v>22</v>
      </c>
      <c r="C10" s="33">
        <f>Operaciones!D14</f>
        <v>4.8363194954060162E-2</v>
      </c>
      <c r="D10" s="33"/>
    </row>
    <row r="11" spans="2:12" x14ac:dyDescent="0.3">
      <c r="C11" s="31"/>
      <c r="D11" s="31"/>
    </row>
    <row r="12" spans="2:12" ht="15" thickBot="1" x14ac:dyDescent="0.35">
      <c r="B12" s="24" t="s">
        <v>26</v>
      </c>
      <c r="C12" s="28" t="s">
        <v>14</v>
      </c>
      <c r="D12" s="28"/>
      <c r="E12" s="28" t="s">
        <v>15</v>
      </c>
      <c r="F12" s="28"/>
      <c r="H12" s="25" t="s">
        <v>27</v>
      </c>
      <c r="I12" s="25"/>
      <c r="J12" s="25"/>
      <c r="K12" s="25"/>
      <c r="L12" s="25"/>
    </row>
    <row r="13" spans="2:12" x14ac:dyDescent="0.3">
      <c r="B13" t="str">
        <f>Operaciones!A2</f>
        <v>Día</v>
      </c>
      <c r="C13" s="29">
        <f>(VLOOKUP(B13,Operaciones!$A$2:$B$11,2,FALSE)*((1+Operaciones!$D$10)^(1/VLOOKUP(B13,Operaciones!$A$2:$B$11,2,FALSE))-1))</f>
        <v>4.8076365560909551E-2</v>
      </c>
      <c r="D13" s="29"/>
      <c r="E13" s="29">
        <f>(VLOOKUP(B13,Operaciones!$A$2:$B$11,2,FALSE)*(1-(1+Operaciones!$D$10)^(-1/VLOOKUP(B13,Operaciones!$A$2:$B$11,2,FALSE))))</f>
        <v>4.8069946037876399E-2</v>
      </c>
      <c r="F13" s="29"/>
      <c r="H13" s="25"/>
      <c r="I13" s="25"/>
      <c r="J13" s="25"/>
      <c r="K13" s="25"/>
      <c r="L13" s="25"/>
    </row>
    <row r="14" spans="2:12" x14ac:dyDescent="0.3">
      <c r="B14" s="3" t="str">
        <f>Operaciones!A3</f>
        <v>Semana</v>
      </c>
      <c r="C14" s="26">
        <f>(VLOOKUP(B14,Operaciones!$A$2:$B$11,2,FALSE)*((1+Operaciones!$D$10)^(1/VLOOKUP(B14,Operaciones!$A$2:$B$11,2,FALSE))-1))</f>
        <v>4.8095383931760161E-2</v>
      </c>
      <c r="D14" s="26"/>
      <c r="E14" s="26">
        <f>(VLOOKUP(B14,Operaciones!$A$2:$B$11,2,FALSE)*(1-(1+Operaciones!$D$10)^(-1/VLOOKUP(B14,Operaciones!$A$2:$B$11,2,FALSE))))</f>
        <v>4.8050941076773324E-2</v>
      </c>
      <c r="F14" s="26"/>
      <c r="H14" s="25"/>
      <c r="I14" s="25"/>
      <c r="J14" s="25"/>
      <c r="K14" s="25"/>
      <c r="L14" s="25"/>
    </row>
    <row r="15" spans="2:12" x14ac:dyDescent="0.3">
      <c r="B15" s="3" t="str">
        <f>Operaciones!A4</f>
        <v>Quincena</v>
      </c>
      <c r="C15" s="26">
        <f>(VLOOKUP(B15,Operaciones!$A$2:$B$11,2,FALSE)*((1+Operaciones!$D$10)^(1/VLOOKUP(B15,Operaciones!$A$2:$B$11,2,FALSE))-1))</f>
        <v>4.8121334241928437E-2</v>
      </c>
      <c r="D15" s="26"/>
      <c r="E15" s="26">
        <f>(VLOOKUP(B15,Operaciones!$A$2:$B$11,2,FALSE)*(1-(1+Operaciones!$D$10)^(-1/VLOOKUP(B15,Operaciones!$A$2:$B$11,2,FALSE))))</f>
        <v>4.8025041364118337E-2</v>
      </c>
      <c r="F15" s="26"/>
      <c r="H15" s="25"/>
      <c r="I15" s="25"/>
      <c r="J15" s="25"/>
      <c r="K15" s="25"/>
      <c r="L15" s="25"/>
    </row>
    <row r="16" spans="2:12" x14ac:dyDescent="0.3">
      <c r="B16" s="3" t="str">
        <f>Operaciones!A5</f>
        <v>Trimestre</v>
      </c>
      <c r="C16" s="26">
        <f>(VLOOKUP(B16,Operaciones!$A$2:$B$11,2,FALSE)*((1+Operaciones!$D$10)^(1/VLOOKUP(B16,Operaciones!$A$2:$B$11,2,FALSE))-1))</f>
        <v>4.8363194954060162E-2</v>
      </c>
      <c r="D16" s="26"/>
      <c r="E16" s="26">
        <f>(VLOOKUP(B16,Operaciones!$A$2:$B$11,2,FALSE)*(1-(1+Operaciones!$D$10)^(-1/VLOOKUP(B16,Operaciones!$A$2:$B$11,2,FALSE))))</f>
        <v>4.7785430926099437E-2</v>
      </c>
      <c r="F16" s="26"/>
      <c r="H16" s="25"/>
      <c r="I16" s="25"/>
      <c r="J16" s="25"/>
      <c r="K16" s="25"/>
      <c r="L16" s="25"/>
    </row>
    <row r="17" spans="2:12" x14ac:dyDescent="0.3">
      <c r="B17" s="3" t="str">
        <f>Operaciones!A6</f>
        <v>Mes</v>
      </c>
      <c r="C17" s="26">
        <f>(VLOOKUP(B17,Operaciones!$A$2:$B$11,2,FALSE)*((1+Operaciones!$D$10)^(1/VLOOKUP(B17,Operaciones!$A$2:$B$11,2,FALSE))-1))</f>
        <v>4.8169577217121784E-2</v>
      </c>
      <c r="D17" s="26"/>
      <c r="E17" s="26">
        <f>(VLOOKUP(B17,Operaciones!$A$2:$B$11,2,FALSE)*(1-(1+Operaciones!$D$10)^(-1/VLOOKUP(B17,Operaciones!$A$2:$B$11,2,FALSE))))</f>
        <v>4.7976991268326774E-2</v>
      </c>
      <c r="F17" s="26"/>
      <c r="H17" s="25"/>
      <c r="I17" s="25"/>
      <c r="J17" s="25"/>
      <c r="K17" s="25"/>
      <c r="L17" s="25"/>
    </row>
    <row r="18" spans="2:12" x14ac:dyDescent="0.3">
      <c r="B18" s="3" t="str">
        <f>Operaciones!A7</f>
        <v>Bimestre</v>
      </c>
      <c r="C18" s="26">
        <f>(VLOOKUP(B18,Operaciones!$A$2:$B$11,2,FALSE)*((1+Operaciones!$D$10)^(1/VLOOKUP(B18,Operaciones!$A$2:$B$11,2,FALSE))-1))</f>
        <v>4.8266256724175172E-2</v>
      </c>
      <c r="D18" s="26"/>
      <c r="E18" s="26">
        <f>(VLOOKUP(B18,Operaciones!$A$2:$B$11,2,FALSE)*(1-(1+Operaciones!$D$10)^(-1/VLOOKUP(B18,Operaciones!$A$2:$B$11,2,FALSE))))</f>
        <v>4.788108328119467E-2</v>
      </c>
      <c r="F18" s="26"/>
      <c r="H18" s="25"/>
      <c r="I18" s="25"/>
      <c r="J18" s="25"/>
      <c r="K18" s="25"/>
      <c r="L18" s="25"/>
    </row>
    <row r="19" spans="2:12" x14ac:dyDescent="0.3">
      <c r="B19" s="3" t="str">
        <f>Operaciones!A8</f>
        <v>Cuatrimestre</v>
      </c>
      <c r="C19" s="26">
        <f>(VLOOKUP(B19,Operaciones!$A$2:$B$11,2,FALSE)*((1+Operaciones!$D$10)^(1/VLOOKUP(B19,Operaciones!$A$2:$B$11,2,FALSE))-1))</f>
        <v>4.8460392685688358E-2</v>
      </c>
      <c r="D19" s="26"/>
      <c r="E19" s="26">
        <f>(VLOOKUP(B19,Operaciones!$A$2:$B$11,2,FALSE)*(1-(1+Operaciones!$D$10)^(-1/VLOOKUP(B19,Operaciones!$A$2:$B$11,2,FALSE))))</f>
        <v>4.7690033436512569E-2</v>
      </c>
      <c r="F19" s="26"/>
      <c r="H19" s="25"/>
      <c r="I19" s="25"/>
      <c r="J19" s="25"/>
      <c r="K19" s="25"/>
      <c r="L19" s="25"/>
    </row>
    <row r="20" spans="2:12" x14ac:dyDescent="0.3">
      <c r="B20" s="3" t="str">
        <f>Operaciones!A9</f>
        <v>Semestre</v>
      </c>
      <c r="C20" s="26">
        <f>(VLOOKUP(B20,Operaciones!$A$2:$B$11,2,FALSE)*((1+Operaciones!$D$10)^(1/VLOOKUP(B20,Operaciones!$A$2:$B$11,2,FALSE))-1))</f>
        <v>4.8655569782330765E-2</v>
      </c>
      <c r="D20" s="26"/>
      <c r="E20" s="26">
        <f>(VLOOKUP(B20,Operaciones!$A$2:$B$11,2,FALSE)*(1-(1+Operaciones!$D$10)^(-1/VLOOKUP(B20,Operaciones!$A$2:$B$11,2,FALSE))))</f>
        <v>4.750000000000032E-2</v>
      </c>
      <c r="F20" s="26"/>
      <c r="H20" s="25"/>
      <c r="I20" s="25"/>
      <c r="J20" s="25"/>
      <c r="K20" s="25"/>
      <c r="L20" s="25"/>
    </row>
    <row r="21" spans="2:12" x14ac:dyDescent="0.3">
      <c r="B21" s="3" t="str">
        <f>Operaciones!A10</f>
        <v>9 Meses</v>
      </c>
      <c r="C21" s="26">
        <f>(VLOOKUP(B21,Operaciones!$A$2:$B$11,2,FALSE)*((1+Operaciones!$D$10)^(1/VLOOKUP(B21,Operaciones!$A$2:$B$11,2,FALSE))-1))</f>
        <v>4.8973071189293615E-2</v>
      </c>
      <c r="D21" s="26"/>
      <c r="E21" s="26">
        <f>(VLOOKUP(B21,Operaciones!$A$2:$B$11,2,FALSE)*(1-(1+Operaciones!$D$10)^(-1/VLOOKUP(B21,Operaciones!$A$2:$B$11,2,FALSE))))</f>
        <v>4.7195154525918596E-2</v>
      </c>
      <c r="F21" s="26"/>
      <c r="H21" s="25"/>
      <c r="I21" s="25"/>
      <c r="J21" s="25"/>
      <c r="K21" s="25"/>
      <c r="L21" s="25"/>
    </row>
    <row r="22" spans="2:12" ht="15" thickBot="1" x14ac:dyDescent="0.35">
      <c r="B22" s="1" t="str">
        <f>Operaciones!A11</f>
        <v>Año</v>
      </c>
      <c r="C22" s="27">
        <f>(VLOOKUP(B22,Operaciones!$A$2:$B$11,2,FALSE)*((1+Operaciones!$D$10)^(1/VLOOKUP(B22,Operaciones!$A$2:$B$11,2,FALSE))-1))</f>
        <v>4.9247410900041366E-2</v>
      </c>
      <c r="D22" s="27"/>
      <c r="E22" s="27">
        <f>(VLOOKUP(B22,Operaciones!$A$2:$B$11,2,FALSE)*(1-(1+Operaciones!$D$10)^(-1/VLOOKUP(B22,Operaciones!$A$2:$B$11,2,FALSE))))</f>
        <v>4.6935937500000247E-2</v>
      </c>
      <c r="F22" s="27"/>
      <c r="H22" s="25"/>
      <c r="I22" s="25"/>
      <c r="J22" s="25"/>
      <c r="K22" s="25"/>
      <c r="L22" s="25"/>
    </row>
    <row r="23" spans="2:12" x14ac:dyDescent="0.3">
      <c r="F23" s="11"/>
    </row>
    <row r="24" spans="2:12" x14ac:dyDescent="0.3">
      <c r="F24" s="11"/>
    </row>
  </sheetData>
  <mergeCells count="35">
    <mergeCell ref="B2:G2"/>
    <mergeCell ref="C11:D11"/>
    <mergeCell ref="C8:D8"/>
    <mergeCell ref="C10:D10"/>
    <mergeCell ref="B3:D3"/>
    <mergeCell ref="E3:G3"/>
    <mergeCell ref="F4:G4"/>
    <mergeCell ref="F5:G5"/>
    <mergeCell ref="C4:D4"/>
    <mergeCell ref="C5:D5"/>
    <mergeCell ref="C6:D6"/>
    <mergeCell ref="C9:D9"/>
    <mergeCell ref="C18:D18"/>
    <mergeCell ref="E12:F12"/>
    <mergeCell ref="C12:D12"/>
    <mergeCell ref="C13:D13"/>
    <mergeCell ref="E13:F13"/>
    <mergeCell ref="C14:D14"/>
    <mergeCell ref="E14:F14"/>
    <mergeCell ref="H12:L22"/>
    <mergeCell ref="C21:D21"/>
    <mergeCell ref="C22:D22"/>
    <mergeCell ref="E15:F15"/>
    <mergeCell ref="E16:F16"/>
    <mergeCell ref="E17:F17"/>
    <mergeCell ref="E18:F18"/>
    <mergeCell ref="E19:F19"/>
    <mergeCell ref="E20:F20"/>
    <mergeCell ref="E21:F21"/>
    <mergeCell ref="E22:F22"/>
    <mergeCell ref="C15:D15"/>
    <mergeCell ref="C16:D16"/>
    <mergeCell ref="C17:D17"/>
    <mergeCell ref="C19:D19"/>
    <mergeCell ref="C20:D20"/>
  </mergeCells>
  <conditionalFormatting sqref="C13:F22">
    <cfRule type="cellIs" dxfId="0" priority="1" operator="equal">
      <formula>$C$10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2" r:id="rId4" name="Button 8">
              <controlPr defaultSize="0" print="0" autoFill="0" autoPict="0" macro="[0]!Limpiar">
                <anchor moveWithCells="1" sizeWithCells="1">
                  <from>
                    <xdr:col>4</xdr:col>
                    <xdr:colOff>266700</xdr:colOff>
                    <xdr:row>7</xdr:row>
                    <xdr:rowOff>175260</xdr:rowOff>
                  </from>
                  <to>
                    <xdr:col>6</xdr:col>
                    <xdr:colOff>205740</xdr:colOff>
                    <xdr:row>10</xdr:row>
                    <xdr:rowOff>0</xdr:rowOff>
                  </to>
                </anchor>
              </controlPr>
            </control>
          </mc:Choice>
        </mc:AlternateContent>
        <mc:AlternateContent xmlns:mc="http://schemas.openxmlformats.org/markup-compatibility/2006">
          <mc:Choice Requires="x14">
            <control shapeId="1033" r:id="rId5" name="Button 9">
              <controlPr defaultSize="0" print="0" autoFill="0" autoPict="0" macro="[0]!Calcular">
                <anchor moveWithCells="1" sizeWithCells="1">
                  <from>
                    <xdr:col>4</xdr:col>
                    <xdr:colOff>266700</xdr:colOff>
                    <xdr:row>5</xdr:row>
                    <xdr:rowOff>114300</xdr:rowOff>
                  </from>
                  <to>
                    <xdr:col>6</xdr:col>
                    <xdr:colOff>205740</xdr:colOff>
                    <xdr:row>7</xdr:row>
                    <xdr:rowOff>121920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A64A6FB8-AD19-418E-8922-FDA5119AC065}">
          <x14:formula1>
            <xm:f>Operaciones!$A$2:$A$11</xm:f>
          </x14:formula1>
          <xm:sqref>C5:D5 F4</xm:sqref>
        </x14:dataValidation>
        <x14:dataValidation type="list" allowBlank="1" showInputMessage="1" showErrorMessage="1" xr:uid="{D5654DCB-41E6-4707-A528-96D1E184C529}">
          <x14:formula1>
            <xm:f>Operaciones!$G$7:$G$9</xm:f>
          </x14:formula1>
          <xm:sqref>C6:D6</xm:sqref>
        </x14:dataValidation>
        <x14:dataValidation type="list" allowBlank="1" showInputMessage="1" showErrorMessage="1" xr:uid="{BA51362C-A80C-46CB-AB16-0AD4D8BDBF3A}">
          <x14:formula1>
            <xm:f>Operaciones!$D$5:$D$6</xm:f>
          </x14:formula1>
          <xm:sqref>F5:G5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26C975-9A3F-4F6E-8919-9246CB8E8839}">
  <sheetPr codeName="Sheet2"/>
  <dimension ref="A1:H14"/>
  <sheetViews>
    <sheetView showGridLines="0" workbookViewId="0">
      <selection activeCell="D10" sqref="D10:E10 A2:B11"/>
    </sheetView>
  </sheetViews>
  <sheetFormatPr defaultRowHeight="14.4" x14ac:dyDescent="0.3"/>
  <cols>
    <col min="1" max="1" width="11.5546875" bestFit="1" customWidth="1"/>
    <col min="4" max="4" width="12.5546875" bestFit="1" customWidth="1"/>
    <col min="5" max="5" width="12.88671875" customWidth="1"/>
    <col min="7" max="7" width="13.6640625" bestFit="1" customWidth="1"/>
    <col min="8" max="8" width="9.6640625" customWidth="1"/>
  </cols>
  <sheetData>
    <row r="1" spans="1:8" ht="15" thickBot="1" x14ac:dyDescent="0.35">
      <c r="A1" s="34" t="s">
        <v>18</v>
      </c>
      <c r="B1" s="34"/>
      <c r="D1" s="39" t="s">
        <v>23</v>
      </c>
      <c r="E1" s="39"/>
      <c r="G1" s="15" t="s">
        <v>12</v>
      </c>
      <c r="H1" s="9" t="s">
        <v>16</v>
      </c>
    </row>
    <row r="2" spans="1:8" ht="15" thickBot="1" x14ac:dyDescent="0.35">
      <c r="A2" t="s">
        <v>0</v>
      </c>
      <c r="B2" s="2">
        <v>360</v>
      </c>
      <c r="D2" s="40">
        <f>Calculadora!C4/(VLOOKUP(Calculadora!C5,Operaciones!A2:B11,2,FALSE))</f>
        <v>2.375E-2</v>
      </c>
      <c r="E2" s="40"/>
      <c r="G2" s="8" t="s">
        <v>14</v>
      </c>
      <c r="H2" s="23">
        <f>E5*VLOOKUP(Calculadora!F4,Operaciones!A2:B11,2,FALSE)</f>
        <v>4.8363194954060162E-2</v>
      </c>
    </row>
    <row r="3" spans="1:8" ht="15" thickBot="1" x14ac:dyDescent="0.35">
      <c r="A3" s="3" t="s">
        <v>7</v>
      </c>
      <c r="B3" s="4">
        <v>52</v>
      </c>
      <c r="G3" s="5" t="s">
        <v>15</v>
      </c>
      <c r="H3" s="22">
        <f>E6*VLOOKUP(Calculadora!F4,Operaciones!A2:B11,2,FALSE)</f>
        <v>4.7785430926099437E-2</v>
      </c>
    </row>
    <row r="4" spans="1:8" ht="15" thickBot="1" x14ac:dyDescent="0.35">
      <c r="A4" s="3" t="s">
        <v>6</v>
      </c>
      <c r="B4" s="4">
        <v>24</v>
      </c>
      <c r="D4" s="39" t="s">
        <v>24</v>
      </c>
      <c r="E4" s="39"/>
    </row>
    <row r="5" spans="1:8" x14ac:dyDescent="0.3">
      <c r="A5" s="3" t="s">
        <v>2</v>
      </c>
      <c r="B5" s="4">
        <v>4</v>
      </c>
      <c r="D5" s="17" t="s">
        <v>14</v>
      </c>
      <c r="E5" s="18">
        <f>((1+Operaciones!D10)^(1/VLOOKUP(Calculadora!F4,Operaciones!A2:B11,2,FALSE))-1)</f>
        <v>1.2090798738515041E-2</v>
      </c>
    </row>
    <row r="6" spans="1:8" ht="15" thickBot="1" x14ac:dyDescent="0.35">
      <c r="A6" s="3" t="s">
        <v>5</v>
      </c>
      <c r="B6" s="4">
        <v>12</v>
      </c>
      <c r="D6" s="5" t="s">
        <v>15</v>
      </c>
      <c r="E6" s="22">
        <f>1-(1+Operaciones!D10)^(-1/(VLOOKUP(Calculadora!F4,Operaciones!A2:B11,2,FALSE)))</f>
        <v>1.1946357731524859E-2</v>
      </c>
      <c r="G6" s="39" t="s">
        <v>17</v>
      </c>
      <c r="H6" s="39"/>
    </row>
    <row r="7" spans="1:8" x14ac:dyDescent="0.3">
      <c r="A7" s="3" t="s">
        <v>4</v>
      </c>
      <c r="B7" s="4">
        <v>6</v>
      </c>
      <c r="G7" s="17" t="s">
        <v>14</v>
      </c>
      <c r="H7" s="16">
        <f>(1+D2)^(VLOOKUP(Calculadora!C5,Operaciones!A2:B11,2,0))-1</f>
        <v>4.8064062499999949E-2</v>
      </c>
    </row>
    <row r="8" spans="1:8" x14ac:dyDescent="0.3">
      <c r="A8" s="3" t="s">
        <v>3</v>
      </c>
      <c r="B8" s="4">
        <v>3</v>
      </c>
      <c r="G8" s="20" t="s">
        <v>15</v>
      </c>
      <c r="H8" s="21">
        <f>(1-D2)^(-VLOOKUP(Calculadora!C5,Operaciones!A2:B11,2,FALSE))-1</f>
        <v>4.9247410900041366E-2</v>
      </c>
    </row>
    <row r="9" spans="1:8" ht="15" thickBot="1" x14ac:dyDescent="0.35">
      <c r="A9" s="3" t="s">
        <v>1</v>
      </c>
      <c r="B9" s="4">
        <v>2</v>
      </c>
      <c r="D9" s="39" t="s">
        <v>21</v>
      </c>
      <c r="E9" s="39"/>
      <c r="G9" s="5" t="s">
        <v>17</v>
      </c>
      <c r="H9" s="19">
        <f>1*Calculadora!C4</f>
        <v>4.7500000000000001E-2</v>
      </c>
    </row>
    <row r="10" spans="1:8" x14ac:dyDescent="0.3">
      <c r="A10" s="3" t="s">
        <v>8</v>
      </c>
      <c r="B10" s="4">
        <v>1.3</v>
      </c>
      <c r="D10" s="42">
        <f>VLOOKUP(Calculadora!C6,Operaciones!G7:H9,2,FALSE)</f>
        <v>4.9247410900041366E-2</v>
      </c>
      <c r="E10" s="42"/>
    </row>
    <row r="11" spans="1:8" ht="15" thickBot="1" x14ac:dyDescent="0.35">
      <c r="A11" s="5" t="s">
        <v>9</v>
      </c>
      <c r="B11" s="6">
        <v>1</v>
      </c>
      <c r="D11" s="39" t="s">
        <v>28</v>
      </c>
      <c r="E11" s="39"/>
    </row>
    <row r="12" spans="1:8" x14ac:dyDescent="0.3">
      <c r="B12" s="2"/>
      <c r="D12" s="41">
        <f>VLOOKUP(Calculadora!F5,Operaciones!D5:E6,2,FALSE)</f>
        <v>1.2090798738515041E-2</v>
      </c>
      <c r="E12" s="41"/>
    </row>
    <row r="13" spans="1:8" ht="15" thickBot="1" x14ac:dyDescent="0.35">
      <c r="B13" s="2"/>
      <c r="D13" s="39" t="s">
        <v>22</v>
      </c>
      <c r="E13" s="39"/>
    </row>
    <row r="14" spans="1:8" x14ac:dyDescent="0.3">
      <c r="D14" s="29">
        <f>VLOOKUP(Calculadora!F5,Operaciones!G2:H3,2,FALSE)</f>
        <v>4.8363194954060162E-2</v>
      </c>
      <c r="E14" s="29"/>
    </row>
  </sheetData>
  <sheetProtection sheet="1" objects="1" scenarios="1"/>
  <mergeCells count="11">
    <mergeCell ref="D13:E13"/>
    <mergeCell ref="D14:E14"/>
    <mergeCell ref="A1:B1"/>
    <mergeCell ref="G6:H6"/>
    <mergeCell ref="D2:E2"/>
    <mergeCell ref="D4:E4"/>
    <mergeCell ref="D1:E1"/>
    <mergeCell ref="D11:E11"/>
    <mergeCell ref="D12:E12"/>
    <mergeCell ref="D9:E9"/>
    <mergeCell ref="D10:E10"/>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Calculadora</vt:lpstr>
      <vt:lpstr>Operaciones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Oscar Nicolás Troncoso Morales</dc:creator>
  <cp:lastModifiedBy>Oscar Nicolás Troncoso Morales</cp:lastModifiedBy>
  <dcterms:created xsi:type="dcterms:W3CDTF">2021-03-07T01:03:55Z</dcterms:created>
  <dcterms:modified xsi:type="dcterms:W3CDTF">2021-03-30T04:50:53Z</dcterms:modified>
</cp:coreProperties>
</file>