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01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oscar\Desktop\University\Tercer Semestre\Finanzas Internacionales\"/>
    </mc:Choice>
  </mc:AlternateContent>
  <xr:revisionPtr revIDLastSave="0" documentId="13_ncr:1_{163771A5-0B50-471C-86FE-DA90A3F4DF28}" xr6:coauthVersionLast="46" xr6:coauthVersionMax="46" xr10:uidLastSave="{00000000-0000-0000-0000-000000000000}"/>
  <bookViews>
    <workbookView xWindow="-108" yWindow="-108" windowWidth="23256" windowHeight="12576" activeTab="2" xr2:uid="{11B03A22-9D0C-4E71-B478-34513ED24554}"/>
  </bookViews>
  <sheets>
    <sheet name="Resultados" sheetId="1" r:id="rId1"/>
    <sheet name="Ope. TES Vigentes" sheetId="3" r:id="rId2"/>
    <sheet name="Ope. TES" sheetId="2" r:id="rId3"/>
    <sheet name="Ope. Simultánea" sheetId="4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K25" i="2" l="1"/>
  <c r="K24" i="2"/>
  <c r="K16" i="2"/>
  <c r="K21" i="2"/>
  <c r="F20" i="1"/>
  <c r="M21" i="2"/>
  <c r="K3" i="3"/>
  <c r="E4" i="4"/>
  <c r="A5" i="4"/>
  <c r="A4" i="4"/>
  <c r="A3" i="4"/>
  <c r="A2" i="4"/>
  <c r="B2" i="4" s="1"/>
  <c r="C3" i="1"/>
  <c r="J2" i="3"/>
  <c r="K2" i="3"/>
  <c r="F2" i="3"/>
  <c r="E3" i="1"/>
  <c r="G2" i="3" s="1"/>
  <c r="B10" i="1" s="1"/>
  <c r="E2" i="2"/>
  <c r="A28" i="1" s="1"/>
  <c r="C2" i="2"/>
  <c r="K8" i="2" s="1"/>
  <c r="B31" i="1" s="1"/>
  <c r="B2" i="2"/>
  <c r="F2" i="2"/>
  <c r="B28" i="1" s="1"/>
  <c r="B4" i="4" l="1"/>
  <c r="B3" i="4"/>
  <c r="E2" i="4" s="1"/>
  <c r="J12" i="3"/>
  <c r="J11" i="3"/>
  <c r="J10" i="3"/>
  <c r="J102" i="3"/>
  <c r="J94" i="3"/>
  <c r="J86" i="3"/>
  <c r="J78" i="3"/>
  <c r="J70" i="3"/>
  <c r="J62" i="3"/>
  <c r="J54" i="3"/>
  <c r="J46" i="3"/>
  <c r="J38" i="3"/>
  <c r="J30" i="3"/>
  <c r="J22" i="3"/>
  <c r="J14" i="3"/>
  <c r="F11" i="3"/>
  <c r="B13" i="1" s="1"/>
  <c r="J101" i="3"/>
  <c r="J93" i="3"/>
  <c r="J85" i="3"/>
  <c r="J77" i="3"/>
  <c r="J69" i="3"/>
  <c r="J61" i="3"/>
  <c r="J53" i="3"/>
  <c r="J45" i="3"/>
  <c r="J37" i="3"/>
  <c r="J29" i="3"/>
  <c r="J21" i="3"/>
  <c r="J13" i="3"/>
  <c r="J100" i="3"/>
  <c r="J92" i="3"/>
  <c r="J84" i="3"/>
  <c r="J76" i="3"/>
  <c r="J68" i="3"/>
  <c r="J60" i="3"/>
  <c r="J52" i="3"/>
  <c r="J44" i="3"/>
  <c r="J36" i="3"/>
  <c r="J28" i="3"/>
  <c r="J20" i="3"/>
  <c r="J99" i="3"/>
  <c r="J91" i="3"/>
  <c r="J83" i="3"/>
  <c r="J67" i="3"/>
  <c r="J51" i="3"/>
  <c r="J90" i="3"/>
  <c r="J82" i="3"/>
  <c r="J74" i="3"/>
  <c r="J58" i="3"/>
  <c r="J50" i="3"/>
  <c r="J42" i="3"/>
  <c r="J34" i="3"/>
  <c r="J18" i="3"/>
  <c r="J97" i="3"/>
  <c r="J89" i="3"/>
  <c r="J81" i="3"/>
  <c r="J73" i="3"/>
  <c r="J65" i="3"/>
  <c r="J57" i="3"/>
  <c r="J49" i="3"/>
  <c r="J41" i="3"/>
  <c r="J33" i="3"/>
  <c r="J25" i="3"/>
  <c r="J17" i="3"/>
  <c r="J9" i="3"/>
  <c r="J75" i="3"/>
  <c r="J59" i="3"/>
  <c r="J43" i="3"/>
  <c r="J35" i="3"/>
  <c r="J27" i="3"/>
  <c r="J19" i="3"/>
  <c r="J98" i="3"/>
  <c r="J66" i="3"/>
  <c r="J26" i="3"/>
  <c r="J96" i="3"/>
  <c r="J88" i="3"/>
  <c r="J80" i="3"/>
  <c r="J72" i="3"/>
  <c r="J64" i="3"/>
  <c r="J56" i="3"/>
  <c r="J48" i="3"/>
  <c r="J40" i="3"/>
  <c r="J32" i="3"/>
  <c r="J24" i="3"/>
  <c r="J16" i="3"/>
  <c r="J8" i="3"/>
  <c r="J95" i="3"/>
  <c r="J87" i="3"/>
  <c r="J79" i="3"/>
  <c r="J71" i="3"/>
  <c r="J63" i="3"/>
  <c r="J55" i="3"/>
  <c r="J47" i="3"/>
  <c r="J39" i="3"/>
  <c r="J31" i="3"/>
  <c r="J23" i="3"/>
  <c r="J15" i="3"/>
  <c r="J7" i="3"/>
  <c r="J6" i="3"/>
  <c r="J3" i="3"/>
  <c r="J4" i="3" s="1"/>
  <c r="J5" i="3" s="1"/>
  <c r="A10" i="1"/>
  <c r="C72" i="2"/>
  <c r="C64" i="2"/>
  <c r="B100" i="2"/>
  <c r="B36" i="2"/>
  <c r="C56" i="2"/>
  <c r="B84" i="2"/>
  <c r="C40" i="2"/>
  <c r="B60" i="2"/>
  <c r="C80" i="2"/>
  <c r="B52" i="2"/>
  <c r="B44" i="2"/>
  <c r="B92" i="2"/>
  <c r="C48" i="2"/>
  <c r="B76" i="2"/>
  <c r="C96" i="2"/>
  <c r="B68" i="2"/>
  <c r="C88" i="2"/>
  <c r="B91" i="2"/>
  <c r="B75" i="2"/>
  <c r="B59" i="2"/>
  <c r="B43" i="2"/>
  <c r="C95" i="2"/>
  <c r="C71" i="2"/>
  <c r="B101" i="2"/>
  <c r="B93" i="2"/>
  <c r="B85" i="2"/>
  <c r="B77" i="2"/>
  <c r="B69" i="2"/>
  <c r="B61" i="2"/>
  <c r="B53" i="2"/>
  <c r="B45" i="2"/>
  <c r="B37" i="2"/>
  <c r="C97" i="2"/>
  <c r="C89" i="2"/>
  <c r="C81" i="2"/>
  <c r="C73" i="2"/>
  <c r="C65" i="2"/>
  <c r="C57" i="2"/>
  <c r="C49" i="2"/>
  <c r="C41" i="2"/>
  <c r="B96" i="2"/>
  <c r="B88" i="2"/>
  <c r="B80" i="2"/>
  <c r="B72" i="2"/>
  <c r="B64" i="2"/>
  <c r="B56" i="2"/>
  <c r="B48" i="2"/>
  <c r="B40" i="2"/>
  <c r="C100" i="2"/>
  <c r="C92" i="2"/>
  <c r="C84" i="2"/>
  <c r="C76" i="2"/>
  <c r="C68" i="2"/>
  <c r="C60" i="2"/>
  <c r="C52" i="2"/>
  <c r="C44" i="2"/>
  <c r="C36" i="2"/>
  <c r="B99" i="2"/>
  <c r="B83" i="2"/>
  <c r="B67" i="2"/>
  <c r="B51" i="2"/>
  <c r="B35" i="2"/>
  <c r="C87" i="2"/>
  <c r="C79" i="2"/>
  <c r="C63" i="2"/>
  <c r="C55" i="2"/>
  <c r="C47" i="2"/>
  <c r="C39" i="2"/>
  <c r="B90" i="2"/>
  <c r="B74" i="2"/>
  <c r="B58" i="2"/>
  <c r="B42" i="2"/>
  <c r="C102" i="2"/>
  <c r="C86" i="2"/>
  <c r="C70" i="2"/>
  <c r="C54" i="2"/>
  <c r="C38" i="2"/>
  <c r="B97" i="2"/>
  <c r="B73" i="2"/>
  <c r="B57" i="2"/>
  <c r="B41" i="2"/>
  <c r="C101" i="2"/>
  <c r="C85" i="2"/>
  <c r="C69" i="2"/>
  <c r="C61" i="2"/>
  <c r="C53" i="2"/>
  <c r="C37" i="2"/>
  <c r="B3" i="2"/>
  <c r="B95" i="2"/>
  <c r="B87" i="2"/>
  <c r="B79" i="2"/>
  <c r="B71" i="2"/>
  <c r="B63" i="2"/>
  <c r="B55" i="2"/>
  <c r="B47" i="2"/>
  <c r="B39" i="2"/>
  <c r="C99" i="2"/>
  <c r="C91" i="2"/>
  <c r="C83" i="2"/>
  <c r="C75" i="2"/>
  <c r="C67" i="2"/>
  <c r="C59" i="2"/>
  <c r="C51" i="2"/>
  <c r="C43" i="2"/>
  <c r="C35" i="2"/>
  <c r="B98" i="2"/>
  <c r="B82" i="2"/>
  <c r="B66" i="2"/>
  <c r="B50" i="2"/>
  <c r="C94" i="2"/>
  <c r="C78" i="2"/>
  <c r="C62" i="2"/>
  <c r="C46" i="2"/>
  <c r="B89" i="2"/>
  <c r="B81" i="2"/>
  <c r="B65" i="2"/>
  <c r="B49" i="2"/>
  <c r="C93" i="2"/>
  <c r="C77" i="2"/>
  <c r="C45" i="2"/>
  <c r="B102" i="2"/>
  <c r="B94" i="2"/>
  <c r="B86" i="2"/>
  <c r="B78" i="2"/>
  <c r="B70" i="2"/>
  <c r="B62" i="2"/>
  <c r="B54" i="2"/>
  <c r="B46" i="2"/>
  <c r="B38" i="2"/>
  <c r="C98" i="2"/>
  <c r="C90" i="2"/>
  <c r="C82" i="2"/>
  <c r="C74" i="2"/>
  <c r="C66" i="2"/>
  <c r="C58" i="2"/>
  <c r="C50" i="2"/>
  <c r="C42" i="2"/>
  <c r="E5" i="4" l="1"/>
  <c r="C3" i="2"/>
  <c r="I2" i="2" s="1"/>
  <c r="K14" i="2" s="1"/>
  <c r="E3" i="4"/>
  <c r="G5" i="4" s="1"/>
  <c r="K4" i="3"/>
  <c r="K6" i="3"/>
  <c r="B4" i="2"/>
  <c r="B5" i="2" s="1"/>
  <c r="B6" i="2" s="1"/>
  <c r="B7" i="2" s="1"/>
  <c r="B8" i="2" s="1"/>
  <c r="B9" i="2" s="1"/>
  <c r="B10" i="2" s="1"/>
  <c r="B11" i="2" s="1"/>
  <c r="B12" i="2" s="1"/>
  <c r="B13" i="2" s="1"/>
  <c r="B14" i="2" s="1"/>
  <c r="B15" i="2" s="1"/>
  <c r="B16" i="2" s="1"/>
  <c r="B17" i="2" s="1"/>
  <c r="B18" i="2" s="1"/>
  <c r="B19" i="2" s="1"/>
  <c r="B20" i="2" s="1"/>
  <c r="B21" i="2" s="1"/>
  <c r="B22" i="2" s="1"/>
  <c r="B23" i="2" s="1"/>
  <c r="B24" i="2" s="1"/>
  <c r="B25" i="2" s="1"/>
  <c r="B26" i="2" s="1"/>
  <c r="B27" i="2" s="1"/>
  <c r="B28" i="2" s="1"/>
  <c r="B29" i="2" s="1"/>
  <c r="B30" i="2" s="1"/>
  <c r="B31" i="2" s="1"/>
  <c r="B32" i="2" s="1"/>
  <c r="B33" i="2" s="1"/>
  <c r="B34" i="2" s="1"/>
  <c r="M14" i="2" l="1"/>
  <c r="K5" i="3"/>
  <c r="N4" i="3" s="1"/>
  <c r="N3" i="3"/>
  <c r="N2" i="3"/>
  <c r="N5" i="3"/>
  <c r="K7" i="3"/>
  <c r="C4" i="2"/>
  <c r="C5" i="2" s="1"/>
  <c r="C6" i="2" s="1"/>
  <c r="C7" i="2" s="1"/>
  <c r="C8" i="2" s="1"/>
  <c r="C9" i="2" s="1"/>
  <c r="C10" i="2" s="1"/>
  <c r="C11" i="2" s="1"/>
  <c r="C12" i="2" s="1"/>
  <c r="C13" i="2" s="1"/>
  <c r="C14" i="2" s="1"/>
  <c r="C15" i="2" s="1"/>
  <c r="C16" i="2" s="1"/>
  <c r="C17" i="2" s="1"/>
  <c r="C18" i="2" s="1"/>
  <c r="C19" i="2" s="1"/>
  <c r="C20" i="2" s="1"/>
  <c r="C21" i="2" s="1"/>
  <c r="C22" i="2" s="1"/>
  <c r="C23" i="2" s="1"/>
  <c r="C24" i="2" s="1"/>
  <c r="C25" i="2" s="1"/>
  <c r="C26" i="2" s="1"/>
  <c r="C27" i="2" s="1"/>
  <c r="C28" i="2" s="1"/>
  <c r="C29" i="2" s="1"/>
  <c r="C30" i="2" s="1"/>
  <c r="C31" i="2" s="1"/>
  <c r="C32" i="2" s="1"/>
  <c r="C33" i="2" s="1"/>
  <c r="C34" i="2" s="1"/>
  <c r="I3" i="2"/>
  <c r="K15" i="2" s="1"/>
  <c r="M15" i="2" s="1"/>
  <c r="K8" i="3" l="1"/>
  <c r="N6" i="3"/>
  <c r="I4" i="2"/>
  <c r="N7" i="3" l="1"/>
  <c r="K9" i="3"/>
  <c r="I5" i="2"/>
  <c r="N8" i="3" l="1"/>
  <c r="K10" i="3"/>
  <c r="I6" i="2"/>
  <c r="M19" i="2" s="1"/>
  <c r="M23" i="2" s="1"/>
  <c r="K19" i="2" l="1"/>
  <c r="K23" i="2" s="1"/>
  <c r="K11" i="3"/>
  <c r="N9" i="3"/>
  <c r="I7" i="2"/>
  <c r="O20" i="2" l="1"/>
  <c r="O17" i="2"/>
  <c r="N10" i="3"/>
  <c r="K12" i="3"/>
  <c r="I8" i="2"/>
  <c r="N11" i="3" l="1"/>
  <c r="K13" i="3"/>
  <c r="I9" i="2"/>
  <c r="K14" i="3" l="1"/>
  <c r="N12" i="3"/>
  <c r="I10" i="2"/>
  <c r="N13" i="3" l="1"/>
  <c r="K15" i="3"/>
  <c r="I11" i="2"/>
  <c r="N14" i="3" l="1"/>
  <c r="K16" i="3"/>
  <c r="I12" i="2"/>
  <c r="N15" i="3" l="1"/>
  <c r="K17" i="3"/>
  <c r="I13" i="2"/>
  <c r="K18" i="3" l="1"/>
  <c r="N16" i="3"/>
  <c r="I14" i="2"/>
  <c r="N17" i="3" l="1"/>
  <c r="K19" i="3"/>
  <c r="I15" i="2"/>
  <c r="N18" i="3" l="1"/>
  <c r="K20" i="3"/>
  <c r="I16" i="2"/>
  <c r="N19" i="3" l="1"/>
  <c r="K21" i="3"/>
  <c r="I17" i="2"/>
  <c r="K22" i="3" l="1"/>
  <c r="N20" i="3"/>
  <c r="I18" i="2"/>
  <c r="K23" i="3" l="1"/>
  <c r="N21" i="3"/>
  <c r="I19" i="2"/>
  <c r="K24" i="3" l="1"/>
  <c r="N22" i="3"/>
  <c r="I20" i="2"/>
  <c r="N23" i="3" l="1"/>
  <c r="K25" i="3"/>
  <c r="I21" i="2"/>
  <c r="K26" i="3" l="1"/>
  <c r="N24" i="3"/>
  <c r="I22" i="2"/>
  <c r="N25" i="3" l="1"/>
  <c r="K27" i="3"/>
  <c r="I23" i="2"/>
  <c r="K28" i="3" l="1"/>
  <c r="N26" i="3"/>
  <c r="I24" i="2"/>
  <c r="K29" i="3" l="1"/>
  <c r="N27" i="3"/>
  <c r="I25" i="2"/>
  <c r="K30" i="3" l="1"/>
  <c r="N28" i="3"/>
  <c r="I26" i="2"/>
  <c r="K31" i="3" l="1"/>
  <c r="N29" i="3"/>
  <c r="I27" i="2"/>
  <c r="N30" i="3" l="1"/>
  <c r="K32" i="3"/>
  <c r="I28" i="2"/>
  <c r="N31" i="3" l="1"/>
  <c r="K33" i="3"/>
  <c r="I29" i="2"/>
  <c r="K34" i="3" l="1"/>
  <c r="N32" i="3"/>
  <c r="I30" i="2"/>
  <c r="N33" i="3" l="1"/>
  <c r="K35" i="3"/>
  <c r="I31" i="2"/>
  <c r="K36" i="3" l="1"/>
  <c r="N34" i="3"/>
  <c r="I32" i="2"/>
  <c r="K37" i="3" l="1"/>
  <c r="N35" i="3"/>
  <c r="I33" i="2"/>
  <c r="K38" i="3" l="1"/>
  <c r="N36" i="3"/>
  <c r="I34" i="2"/>
  <c r="N37" i="3" l="1"/>
  <c r="K39" i="3"/>
  <c r="I35" i="2"/>
  <c r="N38" i="3" l="1"/>
  <c r="K40" i="3"/>
  <c r="I36" i="2"/>
  <c r="N39" i="3" l="1"/>
  <c r="K41" i="3"/>
  <c r="I37" i="2"/>
  <c r="K42" i="3" l="1"/>
  <c r="N40" i="3"/>
  <c r="I38" i="2"/>
  <c r="K43" i="3" l="1"/>
  <c r="N41" i="3"/>
  <c r="I39" i="2"/>
  <c r="N42" i="3" l="1"/>
  <c r="K44" i="3"/>
  <c r="I40" i="2"/>
  <c r="K45" i="3" l="1"/>
  <c r="N43" i="3"/>
  <c r="I41" i="2"/>
  <c r="N44" i="3" l="1"/>
  <c r="K46" i="3"/>
  <c r="I42" i="2"/>
  <c r="N45" i="3" l="1"/>
  <c r="K47" i="3"/>
  <c r="I43" i="2"/>
  <c r="N46" i="3" l="1"/>
  <c r="K48" i="3"/>
  <c r="I44" i="2"/>
  <c r="K49" i="3" l="1"/>
  <c r="N47" i="3"/>
  <c r="I45" i="2"/>
  <c r="K50" i="3" l="1"/>
  <c r="N48" i="3"/>
  <c r="I46" i="2"/>
  <c r="K51" i="3" l="1"/>
  <c r="N49" i="3"/>
  <c r="I47" i="2"/>
  <c r="K52" i="3" l="1"/>
  <c r="N50" i="3"/>
  <c r="I48" i="2"/>
  <c r="K53" i="3" l="1"/>
  <c r="N51" i="3"/>
  <c r="I49" i="2"/>
  <c r="N52" i="3" l="1"/>
  <c r="K54" i="3"/>
  <c r="I50" i="2"/>
  <c r="K55" i="3" l="1"/>
  <c r="N53" i="3"/>
  <c r="I51" i="2"/>
  <c r="N54" i="3" l="1"/>
  <c r="K56" i="3"/>
  <c r="I52" i="2"/>
  <c r="K57" i="3" l="1"/>
  <c r="N55" i="3"/>
  <c r="I53" i="2"/>
  <c r="K58" i="3" l="1"/>
  <c r="N56" i="3"/>
  <c r="I54" i="2"/>
  <c r="K59" i="3" l="1"/>
  <c r="N57" i="3"/>
  <c r="I55" i="2"/>
  <c r="K60" i="3" l="1"/>
  <c r="N58" i="3"/>
  <c r="I56" i="2"/>
  <c r="N59" i="3" l="1"/>
  <c r="K61" i="3"/>
  <c r="I57" i="2"/>
  <c r="K62" i="3" l="1"/>
  <c r="N60" i="3"/>
  <c r="I58" i="2"/>
  <c r="N61" i="3" l="1"/>
  <c r="K63" i="3"/>
  <c r="I59" i="2"/>
  <c r="K64" i="3" l="1"/>
  <c r="N62" i="3"/>
  <c r="I60" i="2"/>
  <c r="K65" i="3" l="1"/>
  <c r="N63" i="3"/>
  <c r="I61" i="2"/>
  <c r="N64" i="3" l="1"/>
  <c r="K66" i="3"/>
  <c r="I62" i="2"/>
  <c r="N65" i="3" l="1"/>
  <c r="K67" i="3"/>
  <c r="I63" i="2"/>
  <c r="N66" i="3" l="1"/>
  <c r="K68" i="3"/>
  <c r="I64" i="2"/>
  <c r="K69" i="3" l="1"/>
  <c r="N67" i="3"/>
  <c r="I65" i="2"/>
  <c r="K70" i="3" l="1"/>
  <c r="N68" i="3"/>
  <c r="I66" i="2"/>
  <c r="N69" i="3" l="1"/>
  <c r="K71" i="3"/>
  <c r="I67" i="2"/>
  <c r="N70" i="3" l="1"/>
  <c r="K72" i="3"/>
  <c r="I68" i="2"/>
  <c r="N71" i="3" l="1"/>
  <c r="K73" i="3"/>
  <c r="I69" i="2"/>
  <c r="K74" i="3" l="1"/>
  <c r="N72" i="3"/>
  <c r="I70" i="2"/>
  <c r="N73" i="3" l="1"/>
  <c r="K75" i="3"/>
  <c r="I71" i="2"/>
  <c r="K76" i="3" l="1"/>
  <c r="N74" i="3"/>
  <c r="I72" i="2"/>
  <c r="N75" i="3" l="1"/>
  <c r="K77" i="3"/>
  <c r="I73" i="2"/>
  <c r="N76" i="3" l="1"/>
  <c r="K78" i="3"/>
  <c r="I74" i="2"/>
  <c r="N77" i="3" l="1"/>
  <c r="K79" i="3"/>
  <c r="I75" i="2"/>
  <c r="K80" i="3" l="1"/>
  <c r="N78" i="3"/>
  <c r="I76" i="2"/>
  <c r="K81" i="3" l="1"/>
  <c r="N79" i="3"/>
  <c r="I77" i="2"/>
  <c r="N80" i="3" l="1"/>
  <c r="K82" i="3"/>
  <c r="I78" i="2"/>
  <c r="N81" i="3" l="1"/>
  <c r="K83" i="3"/>
  <c r="I79" i="2"/>
  <c r="N82" i="3" l="1"/>
  <c r="K84" i="3"/>
  <c r="I80" i="2"/>
  <c r="N83" i="3" l="1"/>
  <c r="K85" i="3"/>
  <c r="I81" i="2"/>
  <c r="K86" i="3" l="1"/>
  <c r="N84" i="3"/>
  <c r="I82" i="2"/>
  <c r="K87" i="3" l="1"/>
  <c r="N85" i="3"/>
  <c r="I83" i="2"/>
  <c r="K88" i="3" l="1"/>
  <c r="N86" i="3"/>
  <c r="I84" i="2"/>
  <c r="K89" i="3" l="1"/>
  <c r="N87" i="3"/>
  <c r="I85" i="2"/>
  <c r="N88" i="3" l="1"/>
  <c r="K90" i="3"/>
  <c r="I86" i="2"/>
  <c r="K91" i="3" l="1"/>
  <c r="N89" i="3"/>
  <c r="I87" i="2"/>
  <c r="N90" i="3" l="1"/>
  <c r="K92" i="3"/>
  <c r="I88" i="2"/>
  <c r="K93" i="3" l="1"/>
  <c r="N91" i="3"/>
  <c r="I89" i="2"/>
  <c r="K94" i="3" l="1"/>
  <c r="N92" i="3"/>
  <c r="I90" i="2"/>
  <c r="K95" i="3" l="1"/>
  <c r="N93" i="3"/>
  <c r="I91" i="2"/>
  <c r="N94" i="3" l="1"/>
  <c r="K96" i="3"/>
  <c r="I92" i="2"/>
  <c r="N95" i="3" l="1"/>
  <c r="K97" i="3"/>
  <c r="I93" i="2"/>
  <c r="N96" i="3" l="1"/>
  <c r="K98" i="3"/>
  <c r="I94" i="2"/>
  <c r="K99" i="3" l="1"/>
  <c r="N97" i="3"/>
  <c r="I95" i="2"/>
  <c r="N98" i="3" l="1"/>
  <c r="K100" i="3"/>
  <c r="I96" i="2"/>
  <c r="K101" i="3" l="1"/>
  <c r="N99" i="3"/>
  <c r="I97" i="2"/>
  <c r="K102" i="3" l="1"/>
  <c r="N101" i="3" s="1"/>
  <c r="N100" i="3"/>
  <c r="I98" i="2"/>
  <c r="F5" i="3" l="1"/>
  <c r="F8" i="3" s="1"/>
  <c r="I99" i="2"/>
  <c r="C10" i="1" l="1"/>
  <c r="A13" i="1"/>
  <c r="F14" i="3"/>
  <c r="C13" i="1" s="1"/>
  <c r="I101" i="2"/>
  <c r="I100" i="2"/>
  <c r="K2" i="2" l="1"/>
  <c r="C28" i="1" s="1"/>
  <c r="F23" i="1" l="1"/>
  <c r="K5" i="2"/>
  <c r="A31" i="1" s="1"/>
  <c r="G2" i="4" l="1"/>
  <c r="I2" i="4" s="1"/>
  <c r="K11" i="2"/>
  <c r="C31" i="1" s="1"/>
  <c r="G23" i="1" l="1"/>
  <c r="H23" i="1"/>
</calcChain>
</file>

<file path=xl/sharedStrings.xml><?xml version="1.0" encoding="utf-8"?>
<sst xmlns="http://schemas.openxmlformats.org/spreadsheetml/2006/main" count="85" uniqueCount="50">
  <si>
    <t>TES</t>
  </si>
  <si>
    <t>TFIT</t>
  </si>
  <si>
    <t>Naturaleza</t>
  </si>
  <si>
    <t>Emisión</t>
  </si>
  <si>
    <t>F. Vencimiento</t>
  </si>
  <si>
    <t>Valor Nominal</t>
  </si>
  <si>
    <t>% Cupón</t>
  </si>
  <si>
    <t>TIR</t>
  </si>
  <si>
    <t>F. Negociación</t>
  </si>
  <si>
    <t>Valor Cupones</t>
  </si>
  <si>
    <t>Cupones</t>
  </si>
  <si>
    <t>Valor del Cupón</t>
  </si>
  <si>
    <t>Fechas Cupones</t>
  </si>
  <si>
    <t>Número</t>
  </si>
  <si>
    <t>Valor de Giro</t>
  </si>
  <si>
    <t>VG Final</t>
  </si>
  <si>
    <t>Días C</t>
  </si>
  <si>
    <t>Cupón Corrido</t>
  </si>
  <si>
    <t>Precio Sucio</t>
  </si>
  <si>
    <t>Precio Limpio</t>
  </si>
  <si>
    <t>1. Digite los datos en las celdas de Emisión, F.Vencimiento, Valor Nominal, % Cupón, TIR y F. Negociación.</t>
  </si>
  <si>
    <t>3. Presione el boton "Limpiar" para borrar todos los datos inscritos.</t>
  </si>
  <si>
    <t>Instrucciones</t>
  </si>
  <si>
    <t>Calculadora de TES</t>
  </si>
  <si>
    <t>Vencimiento</t>
  </si>
  <si>
    <t>Plazo</t>
  </si>
  <si>
    <t>T. Cupón</t>
  </si>
  <si>
    <t>Calculadora de TES Emitidos Vigentes</t>
  </si>
  <si>
    <t>Calculadora de Simultánea</t>
  </si>
  <si>
    <t>F. Inicial</t>
  </si>
  <si>
    <t>F. Final</t>
  </si>
  <si>
    <t>Valor F. Simultánea</t>
  </si>
  <si>
    <t>Valor I. Simultánea</t>
  </si>
  <si>
    <t>TIR Recompra</t>
  </si>
  <si>
    <t>Año Bisiesto</t>
  </si>
  <si>
    <t>Fecha Simultánea</t>
  </si>
  <si>
    <t>Días de Simultánea</t>
  </si>
  <si>
    <t>Días de Cupón Intermedio</t>
  </si>
  <si>
    <t>Días de Neg a FI. Simultánea</t>
  </si>
  <si>
    <t>Días FF. Simultánea a Vencimiento</t>
  </si>
  <si>
    <t>Cupones Descontados</t>
  </si>
  <si>
    <t>VF_F Simultánea</t>
  </si>
  <si>
    <t>VF_I Simultánea</t>
  </si>
  <si>
    <t>D</t>
  </si>
  <si>
    <t>D años</t>
  </si>
  <si>
    <t>D mod</t>
  </si>
  <si>
    <t>C</t>
  </si>
  <si>
    <t>Delta r</t>
  </si>
  <si>
    <t>Delta P</t>
  </si>
  <si>
    <t>DVO1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</si>
</sst>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(* #,##0_);_(* \(#,##0\);_(* &quot;-&quot;??_);_(@_)"/>
    <numFmt numFmtId="165" formatCode="&quot;$&quot;#,##0.00;[Red]&quot;$&quot;#,##0.00"/>
    <numFmt numFmtId="166" formatCode="0.000%"/>
  </numFmts>
  <fonts count="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color rgb="FF171717"/>
      <name val="Consolas"/>
      <family val="3"/>
    </font>
    <font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5" tint="0.59999389629810485"/>
        <bgColor indexed="64"/>
      </patternFill>
    </fill>
  </fills>
  <borders count="6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4">
    <xf numFmtId="0" fontId="0" fillId="0" borderId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99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0" fillId="2" borderId="1" xfId="0" applyFill="1" applyBorder="1" applyAlignment="1">
      <alignment horizontal="center" vertical="center"/>
    </xf>
    <xf numFmtId="165" fontId="0" fillId="0" borderId="2" xfId="2" applyNumberFormat="1" applyFont="1" applyBorder="1" applyAlignment="1">
      <alignment horizontal="center" vertical="center"/>
    </xf>
    <xf numFmtId="14" fontId="0" fillId="0" borderId="2" xfId="2" applyNumberFormat="1" applyFont="1" applyBorder="1" applyAlignment="1">
      <alignment horizontal="center" vertical="center"/>
    </xf>
    <xf numFmtId="10" fontId="0" fillId="0" borderId="2" xfId="3" applyNumberFormat="1" applyFont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44" fontId="0" fillId="0" borderId="4" xfId="2" applyFont="1" applyBorder="1" applyAlignment="1">
      <alignment horizontal="center" vertical="center"/>
    </xf>
    <xf numFmtId="14" fontId="0" fillId="0" borderId="4" xfId="1" applyNumberFormat="1" applyFont="1" applyBorder="1" applyAlignment="1">
      <alignment horizontal="center" vertical="center"/>
    </xf>
    <xf numFmtId="44" fontId="0" fillId="0" borderId="4" xfId="0" applyNumberFormat="1" applyBorder="1" applyAlignment="1">
      <alignment horizontal="center" vertical="center"/>
    </xf>
    <xf numFmtId="0" fontId="0" fillId="0" borderId="5" xfId="0" applyBorder="1" applyAlignment="1">
      <alignment horizontal="center"/>
    </xf>
    <xf numFmtId="14" fontId="0" fillId="0" borderId="5" xfId="0" applyNumberFormat="1" applyBorder="1" applyAlignment="1">
      <alignment horizontal="center"/>
    </xf>
    <xf numFmtId="0" fontId="0" fillId="0" borderId="3" xfId="0" applyBorder="1" applyAlignment="1">
      <alignment horizontal="center"/>
    </xf>
    <xf numFmtId="14" fontId="0" fillId="0" borderId="3" xfId="0" applyNumberFormat="1" applyBorder="1" applyAlignment="1">
      <alignment horizontal="center"/>
    </xf>
    <xf numFmtId="44" fontId="0" fillId="0" borderId="0" xfId="2" applyFont="1" applyAlignment="1">
      <alignment horizontal="center"/>
    </xf>
    <xf numFmtId="0" fontId="2" fillId="0" borderId="0" xfId="0" applyFont="1" applyFill="1" applyBorder="1" applyAlignment="1">
      <alignment horizontal="center" vertical="center"/>
    </xf>
    <xf numFmtId="44" fontId="0" fillId="0" borderId="5" xfId="2" applyFont="1" applyBorder="1" applyAlignment="1">
      <alignment horizontal="center"/>
    </xf>
    <xf numFmtId="44" fontId="0" fillId="0" borderId="3" xfId="2" applyFont="1" applyBorder="1" applyAlignment="1">
      <alignment horizontal="center"/>
    </xf>
    <xf numFmtId="164" fontId="0" fillId="0" borderId="5" xfId="1" applyNumberFormat="1" applyFont="1" applyBorder="1" applyAlignment="1">
      <alignment horizontal="center"/>
    </xf>
    <xf numFmtId="164" fontId="0" fillId="0" borderId="3" xfId="1" applyNumberFormat="1" applyFont="1" applyBorder="1" applyAlignment="1">
      <alignment horizontal="center"/>
    </xf>
    <xf numFmtId="0" fontId="3" fillId="0" borderId="0" xfId="0" applyFont="1" applyAlignment="1">
      <alignment horizontal="center"/>
    </xf>
    <xf numFmtId="14" fontId="2" fillId="2" borderId="1" xfId="1" applyNumberFormat="1" applyFont="1" applyFill="1" applyBorder="1" applyAlignment="1">
      <alignment horizontal="center" vertical="center"/>
    </xf>
    <xf numFmtId="14" fontId="0" fillId="0" borderId="0" xfId="1" applyNumberFormat="1" applyFont="1" applyAlignment="1">
      <alignment horizontal="center"/>
    </xf>
    <xf numFmtId="44" fontId="0" fillId="0" borderId="4" xfId="0" applyNumberFormat="1" applyBorder="1" applyAlignment="1">
      <alignment horizontal="center"/>
    </xf>
    <xf numFmtId="0" fontId="2" fillId="2" borderId="1" xfId="0" applyFont="1" applyFill="1" applyBorder="1" applyAlignment="1">
      <alignment horizontal="center" vertical="center"/>
    </xf>
    <xf numFmtId="44" fontId="0" fillId="0" borderId="4" xfId="0" applyNumberFormat="1" applyBorder="1" applyAlignment="1">
      <alignment horizontal="center" vertical="center"/>
    </xf>
    <xf numFmtId="0" fontId="0" fillId="0" borderId="4" xfId="1" applyNumberFormat="1" applyFont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/>
    </xf>
    <xf numFmtId="164" fontId="0" fillId="0" borderId="2" xfId="1" applyNumberFormat="1" applyFont="1" applyBorder="1" applyAlignment="1">
      <alignment horizontal="center"/>
    </xf>
    <xf numFmtId="14" fontId="0" fillId="0" borderId="4" xfId="0" applyNumberFormat="1" applyBorder="1" applyAlignment="1">
      <alignment horizontal="center" vertical="center"/>
    </xf>
    <xf numFmtId="14" fontId="2" fillId="0" borderId="0" xfId="0" applyNumberFormat="1" applyFont="1" applyAlignment="1">
      <alignment horizontal="center"/>
    </xf>
    <xf numFmtId="164" fontId="2" fillId="0" borderId="2" xfId="1" applyNumberFormat="1" applyFont="1" applyBorder="1" applyAlignment="1">
      <alignment horizontal="center"/>
    </xf>
    <xf numFmtId="0" fontId="0" fillId="0" borderId="0" xfId="0" applyFill="1" applyBorder="1" applyAlignment="1">
      <alignment horizontal="center" vertical="center"/>
    </xf>
    <xf numFmtId="0" fontId="0" fillId="0" borderId="0" xfId="0" applyAlignment="1">
      <alignment horizontal="left" vertical="center"/>
    </xf>
    <xf numFmtId="10" fontId="0" fillId="0" borderId="4" xfId="3" applyNumberFormat="1" applyFont="1" applyBorder="1" applyAlignment="1">
      <alignment horizontal="center"/>
    </xf>
    <xf numFmtId="10" fontId="0" fillId="0" borderId="4" xfId="3" applyNumberFormat="1" applyFont="1" applyBorder="1" applyAlignment="1">
      <alignment horizontal="center" vertical="center"/>
    </xf>
    <xf numFmtId="10" fontId="0" fillId="0" borderId="4" xfId="3" applyNumberFormat="1" applyFont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/>
    </xf>
    <xf numFmtId="10" fontId="0" fillId="0" borderId="4" xfId="3" applyNumberFormat="1" applyFont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10" fontId="0" fillId="0" borderId="0" xfId="3" applyNumberFormat="1" applyFont="1" applyBorder="1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0" fontId="0" fillId="0" borderId="0" xfId="0" applyNumberFormat="1" applyAlignment="1">
      <alignment horizontal="center" vertical="center"/>
    </xf>
    <xf numFmtId="10" fontId="0" fillId="0" borderId="0" xfId="3" applyNumberFormat="1" applyFont="1" applyAlignment="1">
      <alignment horizontal="center" vertical="center"/>
    </xf>
    <xf numFmtId="44" fontId="0" fillId="0" borderId="0" xfId="2" applyFont="1" applyAlignment="1">
      <alignment horizontal="center" vertical="center"/>
    </xf>
    <xf numFmtId="43" fontId="0" fillId="0" borderId="0" xfId="1" applyFont="1" applyAlignment="1">
      <alignment horizontal="center" vertical="center"/>
    </xf>
    <xf numFmtId="10" fontId="0" fillId="2" borderId="1" xfId="3" applyNumberFormat="1" applyFont="1" applyFill="1" applyBorder="1" applyAlignment="1">
      <alignment horizontal="center" vertical="center"/>
    </xf>
    <xf numFmtId="44" fontId="0" fillId="2" borderId="1" xfId="2" applyFont="1" applyFill="1" applyBorder="1" applyAlignment="1">
      <alignment horizontal="center" vertical="center"/>
    </xf>
    <xf numFmtId="14" fontId="0" fillId="0" borderId="5" xfId="0" applyNumberFormat="1" applyBorder="1" applyAlignment="1">
      <alignment horizontal="center" vertical="center"/>
    </xf>
    <xf numFmtId="0" fontId="0" fillId="0" borderId="5" xfId="0" applyNumberFormat="1" applyBorder="1" applyAlignment="1">
      <alignment horizontal="center" vertical="center"/>
    </xf>
    <xf numFmtId="10" fontId="0" fillId="0" borderId="5" xfId="3" applyNumberFormat="1" applyFont="1" applyBorder="1" applyAlignment="1">
      <alignment horizontal="center" vertical="center"/>
    </xf>
    <xf numFmtId="44" fontId="0" fillId="0" borderId="5" xfId="2" applyFont="1" applyBorder="1" applyAlignment="1">
      <alignment horizontal="center" vertical="center"/>
    </xf>
    <xf numFmtId="43" fontId="0" fillId="0" borderId="5" xfId="1" applyFont="1" applyBorder="1" applyAlignment="1">
      <alignment horizontal="center" vertical="center"/>
    </xf>
    <xf numFmtId="14" fontId="0" fillId="0" borderId="3" xfId="0" applyNumberFormat="1" applyBorder="1" applyAlignment="1">
      <alignment horizontal="center" vertical="center"/>
    </xf>
    <xf numFmtId="0" fontId="0" fillId="0" borderId="3" xfId="0" applyNumberFormat="1" applyBorder="1" applyAlignment="1">
      <alignment horizontal="center" vertical="center"/>
    </xf>
    <xf numFmtId="10" fontId="0" fillId="0" borderId="3" xfId="3" applyNumberFormat="1" applyFont="1" applyBorder="1" applyAlignment="1">
      <alignment horizontal="center" vertical="center"/>
    </xf>
    <xf numFmtId="44" fontId="0" fillId="0" borderId="3" xfId="2" applyFont="1" applyBorder="1" applyAlignment="1">
      <alignment horizontal="center" vertical="center"/>
    </xf>
    <xf numFmtId="43" fontId="0" fillId="0" borderId="3" xfId="1" applyFont="1" applyBorder="1" applyAlignment="1">
      <alignment horizontal="center" vertical="center"/>
    </xf>
    <xf numFmtId="164" fontId="0" fillId="0" borderId="2" xfId="1" applyNumberFormat="1" applyFont="1" applyBorder="1" applyAlignment="1">
      <alignment horizontal="center" vertical="center"/>
    </xf>
    <xf numFmtId="0" fontId="2" fillId="0" borderId="0" xfId="0" applyFont="1" applyFill="1" applyAlignment="1">
      <alignment vertical="center"/>
    </xf>
    <xf numFmtId="43" fontId="0" fillId="0" borderId="0" xfId="1" applyFont="1" applyFill="1" applyBorder="1" applyAlignment="1">
      <alignment horizontal="center" vertical="center"/>
    </xf>
    <xf numFmtId="0" fontId="2" fillId="3" borderId="1" xfId="0" applyFont="1" applyFill="1" applyBorder="1" applyAlignment="1">
      <alignment vertical="center"/>
    </xf>
    <xf numFmtId="44" fontId="0" fillId="0" borderId="4" xfId="2" applyFont="1" applyBorder="1" applyAlignment="1">
      <alignment vertical="center"/>
    </xf>
    <xf numFmtId="0" fontId="0" fillId="0" borderId="3" xfId="0" applyBorder="1" applyAlignment="1">
      <alignment horizontal="center" vertical="center"/>
    </xf>
    <xf numFmtId="0" fontId="0" fillId="0" borderId="3" xfId="0" applyBorder="1" applyAlignment="1">
      <alignment vertical="center"/>
    </xf>
    <xf numFmtId="44" fontId="0" fillId="0" borderId="0" xfId="0" applyNumberFormat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2" fillId="3" borderId="1" xfId="0" applyFont="1" applyFill="1" applyBorder="1" applyAlignment="1">
      <alignment horizontal="center" vertical="center"/>
    </xf>
    <xf numFmtId="10" fontId="0" fillId="0" borderId="4" xfId="3" applyNumberFormat="1" applyFont="1" applyBorder="1" applyAlignment="1">
      <alignment horizontal="center" vertical="center"/>
    </xf>
    <xf numFmtId="0" fontId="0" fillId="0" borderId="5" xfId="0" applyBorder="1" applyAlignment="1">
      <alignment horizontal="left" vertical="center"/>
    </xf>
    <xf numFmtId="0" fontId="0" fillId="2" borderId="1" xfId="0" applyFill="1" applyBorder="1" applyAlignment="1">
      <alignment horizontal="center" vertical="center"/>
    </xf>
    <xf numFmtId="44" fontId="0" fillId="0" borderId="4" xfId="0" applyNumberFormat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2" fillId="0" borderId="0" xfId="0" applyFont="1" applyFill="1" applyBorder="1" applyAlignment="1">
      <alignment vertical="center"/>
    </xf>
    <xf numFmtId="0" fontId="2" fillId="0" borderId="0" xfId="0" applyFont="1" applyFill="1" applyBorder="1" applyAlignment="1">
      <alignment horizontal="center" vertical="center"/>
    </xf>
    <xf numFmtId="10" fontId="0" fillId="0" borderId="0" xfId="3" applyNumberFormat="1" applyFont="1" applyFill="1" applyBorder="1" applyAlignment="1">
      <alignment horizontal="center" vertical="center"/>
    </xf>
    <xf numFmtId="44" fontId="0" fillId="0" borderId="0" xfId="2" applyFont="1" applyFill="1" applyBorder="1" applyAlignment="1">
      <alignment horizontal="center" vertical="center"/>
    </xf>
    <xf numFmtId="165" fontId="0" fillId="0" borderId="0" xfId="2" applyNumberFormat="1" applyFont="1" applyFill="1" applyBorder="1" applyAlignment="1">
      <alignment vertical="center"/>
    </xf>
    <xf numFmtId="165" fontId="0" fillId="0" borderId="0" xfId="0" applyNumberFormat="1" applyFill="1" applyBorder="1" applyAlignment="1">
      <alignment horizontal="center" vertical="center"/>
    </xf>
    <xf numFmtId="44" fontId="0" fillId="0" borderId="0" xfId="0" applyNumberFormat="1" applyAlignment="1">
      <alignment horizontal="center"/>
    </xf>
    <xf numFmtId="166" fontId="0" fillId="0" borderId="0" xfId="0" applyNumberFormat="1" applyAlignment="1">
      <alignment horizontal="center"/>
    </xf>
    <xf numFmtId="44" fontId="2" fillId="0" borderId="0" xfId="0" applyNumberFormat="1" applyFont="1" applyAlignment="1">
      <alignment horizontal="center"/>
    </xf>
    <xf numFmtId="0" fontId="2" fillId="0" borderId="0" xfId="0" applyFont="1" applyAlignment="1">
      <alignment horizontal="center"/>
    </xf>
    <xf numFmtId="0" fontId="2" fillId="3" borderId="0" xfId="0" applyFont="1" applyFill="1" applyAlignment="1">
      <alignment horizontal="center"/>
    </xf>
    <xf numFmtId="44" fontId="0" fillId="0" borderId="0" xfId="0" applyNumberFormat="1" applyFont="1" applyAlignment="1">
      <alignment horizontal="center"/>
    </xf>
    <xf numFmtId="165" fontId="2" fillId="0" borderId="0" xfId="2" applyNumberFormat="1" applyFont="1" applyAlignment="1">
      <alignment horizontal="center"/>
    </xf>
    <xf numFmtId="2" fontId="2" fillId="0" borderId="0" xfId="0" applyNumberFormat="1" applyFont="1" applyAlignment="1">
      <alignment horizontal="center"/>
    </xf>
    <xf numFmtId="165" fontId="2" fillId="0" borderId="0" xfId="0" applyNumberFormat="1" applyFont="1" applyAlignment="1">
      <alignment horizontal="center"/>
    </xf>
    <xf numFmtId="10" fontId="2" fillId="0" borderId="0" xfId="0" applyNumberFormat="1" applyFont="1" applyAlignment="1">
      <alignment horizontal="center"/>
    </xf>
    <xf numFmtId="165" fontId="0" fillId="0" borderId="0" xfId="2" applyNumberFormat="1" applyFont="1" applyFill="1" applyBorder="1" applyAlignment="1">
      <alignment horizontal="center" vertical="center"/>
    </xf>
    <xf numFmtId="10" fontId="0" fillId="0" borderId="0" xfId="0" applyNumberFormat="1" applyFill="1" applyBorder="1" applyAlignment="1">
      <alignment horizontal="center" vertical="center"/>
    </xf>
    <xf numFmtId="44" fontId="0" fillId="0" borderId="0" xfId="2" applyNumberFormat="1" applyFont="1" applyAlignment="1">
      <alignment horizontal="center"/>
    </xf>
  </cellXfs>
  <cellStyles count="4">
    <cellStyle name="Comma" xfId="1" builtinId="3"/>
    <cellStyle name="Currency" xfId="2" builtinId="4"/>
    <cellStyle name="Normal" xfId="0" builtinId="0"/>
    <cellStyle name="Percent" xfId="3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129540</xdr:colOff>
          <xdr:row>22</xdr:row>
          <xdr:rowOff>60960</xdr:rowOff>
        </xdr:from>
        <xdr:to>
          <xdr:col>4</xdr:col>
          <xdr:colOff>22860</xdr:colOff>
          <xdr:row>24</xdr:row>
          <xdr:rowOff>68580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Borrar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274320</xdr:colOff>
          <xdr:row>4</xdr:row>
          <xdr:rowOff>38100</xdr:rowOff>
        </xdr:from>
        <xdr:to>
          <xdr:col>4</xdr:col>
          <xdr:colOff>548640</xdr:colOff>
          <xdr:row>6</xdr:row>
          <xdr:rowOff>114300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Limpiar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CE84B3-BA32-47E0-85A1-571F05292F6F}">
  <sheetPr codeName="Sheet1"/>
  <dimension ref="A1:P35"/>
  <sheetViews>
    <sheetView showGridLines="0" topLeftCell="A7" workbookViewId="0">
      <selection activeCell="F26" sqref="F26"/>
    </sheetView>
  </sheetViews>
  <sheetFormatPr defaultRowHeight="14.4" x14ac:dyDescent="0.3"/>
  <cols>
    <col min="1" max="1" width="13.109375" style="2" bestFit="1" customWidth="1"/>
    <col min="2" max="2" width="17.21875" style="2" bestFit="1" customWidth="1"/>
    <col min="3" max="3" width="10" style="2" bestFit="1" customWidth="1"/>
    <col min="4" max="4" width="13.21875" style="2" customWidth="1"/>
    <col min="5" max="5" width="8.109375" style="2" bestFit="1" customWidth="1"/>
    <col min="6" max="6" width="21.44140625" style="2" customWidth="1"/>
    <col min="7" max="7" width="17.44140625" style="2" bestFit="1" customWidth="1"/>
    <col min="8" max="8" width="12.6640625" style="2" bestFit="1" customWidth="1"/>
    <col min="9" max="16384" width="8.88671875" style="2"/>
  </cols>
  <sheetData>
    <row r="1" spans="1:14" x14ac:dyDescent="0.3">
      <c r="A1" s="72" t="s">
        <v>27</v>
      </c>
      <c r="B1" s="72"/>
      <c r="C1" s="72"/>
      <c r="D1" s="72"/>
      <c r="E1" s="72"/>
      <c r="F1" s="65"/>
      <c r="G1" s="65"/>
    </row>
    <row r="2" spans="1:14" ht="15" thickBot="1" x14ac:dyDescent="0.35">
      <c r="A2" s="76" t="s">
        <v>2</v>
      </c>
      <c r="B2" s="76"/>
      <c r="C2" s="5" t="s">
        <v>3</v>
      </c>
      <c r="D2" s="5" t="s">
        <v>4</v>
      </c>
      <c r="E2" s="5" t="s">
        <v>6</v>
      </c>
      <c r="F2" s="38"/>
    </row>
    <row r="3" spans="1:14" x14ac:dyDescent="0.3">
      <c r="A3" s="10" t="s">
        <v>0</v>
      </c>
      <c r="B3" s="10" t="s">
        <v>1</v>
      </c>
      <c r="C3" s="64">
        <f>VLOOKUP(D3,'Ope. TES Vigentes'!A2:D12,2,2)</f>
        <v>10</v>
      </c>
      <c r="D3" s="13">
        <v>44685</v>
      </c>
      <c r="E3" s="8">
        <f>VLOOKUP(D3,'Ope. TES Vigentes'!A2:D12,3,2)</f>
        <v>7.0000000000000007E-2</v>
      </c>
      <c r="F3" s="66"/>
    </row>
    <row r="5" spans="1:14" x14ac:dyDescent="0.3">
      <c r="A5" s="3" t="s">
        <v>5</v>
      </c>
      <c r="B5" s="6">
        <v>20000000</v>
      </c>
    </row>
    <row r="6" spans="1:14" x14ac:dyDescent="0.3">
      <c r="A6" s="3" t="s">
        <v>7</v>
      </c>
      <c r="B6" s="8">
        <v>7.0000000000000007E-2</v>
      </c>
    </row>
    <row r="7" spans="1:14" x14ac:dyDescent="0.3">
      <c r="A7" s="3" t="s">
        <v>8</v>
      </c>
      <c r="B7" s="7">
        <v>43910</v>
      </c>
    </row>
    <row r="9" spans="1:14" ht="15" thickBot="1" x14ac:dyDescent="0.35">
      <c r="A9" s="33" t="s">
        <v>10</v>
      </c>
      <c r="B9" s="33" t="s">
        <v>11</v>
      </c>
      <c r="C9" s="73" t="s">
        <v>14</v>
      </c>
      <c r="D9" s="73"/>
      <c r="F9" s="78" t="s">
        <v>22</v>
      </c>
      <c r="G9" s="78"/>
      <c r="H9" s="78"/>
      <c r="I9" s="78"/>
      <c r="J9" s="78"/>
      <c r="K9" s="78"/>
      <c r="L9" s="78"/>
      <c r="M9" s="78"/>
      <c r="N9" s="78"/>
    </row>
    <row r="10" spans="1:14" x14ac:dyDescent="0.3">
      <c r="A10" s="10">
        <f>'Ope. TES Vigentes'!F2</f>
        <v>3</v>
      </c>
      <c r="B10" s="30">
        <f>'Ope. TES Vigentes'!G2</f>
        <v>1400000.0000000002</v>
      </c>
      <c r="C10" s="77">
        <f>'Ope. TES Vigentes'!F5</f>
        <v>21226169.079332698</v>
      </c>
      <c r="D10" s="77"/>
      <c r="F10" s="39" t="s">
        <v>20</v>
      </c>
      <c r="G10" s="4"/>
      <c r="H10" s="4"/>
      <c r="I10" s="4"/>
      <c r="J10" s="4"/>
      <c r="K10" s="39"/>
      <c r="L10" s="4"/>
      <c r="M10" s="4"/>
      <c r="N10" s="4"/>
    </row>
    <row r="11" spans="1:14" x14ac:dyDescent="0.3">
      <c r="F11" s="75" t="s">
        <v>21</v>
      </c>
      <c r="G11" s="75"/>
      <c r="H11" s="75"/>
      <c r="I11" s="75"/>
      <c r="J11" s="75"/>
      <c r="K11" s="75"/>
      <c r="L11" s="75"/>
      <c r="M11" s="75"/>
      <c r="N11" s="11"/>
    </row>
    <row r="12" spans="1:14" ht="15" thickBot="1" x14ac:dyDescent="0.35">
      <c r="A12" s="33" t="s">
        <v>18</v>
      </c>
      <c r="B12" s="33" t="s">
        <v>17</v>
      </c>
      <c r="C12" s="73" t="s">
        <v>19</v>
      </c>
      <c r="D12" s="73"/>
    </row>
    <row r="13" spans="1:14" x14ac:dyDescent="0.3">
      <c r="A13" s="42">
        <f>'Ope. TES Vigentes'!F8</f>
        <v>1.0613084539666349</v>
      </c>
      <c r="B13" s="42">
        <f>'Ope. TES Vigentes'!F11</f>
        <v>6.156164383561645E-2</v>
      </c>
      <c r="C13" s="74">
        <f>'Ope. TES Vigentes'!F14</f>
        <v>0.9997468101310184</v>
      </c>
      <c r="D13" s="74"/>
    </row>
    <row r="16" spans="1:14" x14ac:dyDescent="0.3">
      <c r="A16" s="46"/>
      <c r="B16" s="46"/>
      <c r="C16" s="46"/>
      <c r="D16" s="46"/>
    </row>
    <row r="17" spans="1:16" x14ac:dyDescent="0.3">
      <c r="A17" s="46"/>
      <c r="B17" s="46"/>
      <c r="C17" s="46"/>
      <c r="D17" s="46"/>
    </row>
    <row r="18" spans="1:16" x14ac:dyDescent="0.3">
      <c r="A18" s="72" t="s">
        <v>23</v>
      </c>
      <c r="B18" s="72"/>
      <c r="C18" s="72"/>
      <c r="D18" s="72"/>
      <c r="F18" s="72" t="s">
        <v>28</v>
      </c>
      <c r="G18" s="72"/>
      <c r="H18" s="72"/>
    </row>
    <row r="19" spans="1:16" ht="15" thickBot="1" x14ac:dyDescent="0.35">
      <c r="A19" s="76" t="s">
        <v>2</v>
      </c>
      <c r="B19" s="76"/>
      <c r="C19" s="5" t="s">
        <v>3</v>
      </c>
      <c r="D19" s="5" t="s">
        <v>4</v>
      </c>
      <c r="F19" s="45" t="s">
        <v>29</v>
      </c>
      <c r="G19" s="45" t="s">
        <v>30</v>
      </c>
      <c r="H19" s="45" t="s">
        <v>7</v>
      </c>
    </row>
    <row r="20" spans="1:16" x14ac:dyDescent="0.3">
      <c r="A20" s="10" t="s">
        <v>0</v>
      </c>
      <c r="B20" s="10" t="s">
        <v>1</v>
      </c>
      <c r="C20" s="31">
        <v>10</v>
      </c>
      <c r="D20" s="13">
        <v>42536</v>
      </c>
      <c r="F20" s="35">
        <f>B25</f>
        <v>41575</v>
      </c>
      <c r="G20" s="35">
        <v>42175</v>
      </c>
      <c r="H20" s="44">
        <v>4.4999999999999998E-2</v>
      </c>
    </row>
    <row r="21" spans="1:16" x14ac:dyDescent="0.3">
      <c r="O21" s="4"/>
      <c r="P21" s="4"/>
    </row>
    <row r="22" spans="1:16" ht="15" thickBot="1" x14ac:dyDescent="0.35">
      <c r="A22" s="3" t="s">
        <v>5</v>
      </c>
      <c r="B22" s="6">
        <v>3500000000</v>
      </c>
      <c r="F22" s="43" t="s">
        <v>32</v>
      </c>
      <c r="G22" s="67" t="s">
        <v>31</v>
      </c>
      <c r="H22" s="67" t="s">
        <v>33</v>
      </c>
    </row>
    <row r="23" spans="1:16" x14ac:dyDescent="0.3">
      <c r="A23" s="3" t="s">
        <v>6</v>
      </c>
      <c r="B23" s="8">
        <v>7.2499999999999995E-2</v>
      </c>
      <c r="F23" s="12">
        <f>IF(F20=B25,C28,(C28*((1+B24)^('Ope. Simultánea'!E4/365))))</f>
        <v>3773327102.7108464</v>
      </c>
      <c r="G23" s="68">
        <f>'Ope. Simultánea'!I2</f>
        <v>3627888440.4919887</v>
      </c>
      <c r="H23" s="44">
        <f>(((B22+B28)/('Ope. Simultánea'!I2))^(365/'Ope. Simultánea'!E5))-1</f>
        <v>3.5083860388276156E-2</v>
      </c>
    </row>
    <row r="24" spans="1:16" x14ac:dyDescent="0.3">
      <c r="A24" s="3" t="s">
        <v>7</v>
      </c>
      <c r="B24" s="8">
        <v>5.0999999999999997E-2</v>
      </c>
    </row>
    <row r="25" spans="1:16" x14ac:dyDescent="0.3">
      <c r="A25" s="3" t="s">
        <v>8</v>
      </c>
      <c r="B25" s="7">
        <v>41575</v>
      </c>
      <c r="F25" s="81"/>
      <c r="G25" s="81"/>
      <c r="H25" s="80"/>
    </row>
    <row r="26" spans="1:16" x14ac:dyDescent="0.3">
      <c r="F26" s="96"/>
      <c r="G26" s="38"/>
      <c r="H26" s="38"/>
    </row>
    <row r="27" spans="1:16" ht="15" thickBot="1" x14ac:dyDescent="0.35">
      <c r="A27" s="32" t="s">
        <v>10</v>
      </c>
      <c r="B27" s="32" t="s">
        <v>11</v>
      </c>
      <c r="C27" s="73" t="s">
        <v>14</v>
      </c>
      <c r="D27" s="73"/>
      <c r="F27" s="83"/>
      <c r="G27" s="82"/>
      <c r="H27" s="38"/>
    </row>
    <row r="28" spans="1:16" x14ac:dyDescent="0.3">
      <c r="A28" s="10">
        <f>'Ope. TES'!E2</f>
        <v>3</v>
      </c>
      <c r="B28" s="14">
        <f>'Ope. TES'!F2</f>
        <v>253749999.99999997</v>
      </c>
      <c r="C28" s="77">
        <f>'Ope. TES'!K2</f>
        <v>3773327102.7108464</v>
      </c>
      <c r="D28" s="77"/>
      <c r="F28" s="82"/>
      <c r="G28" s="97"/>
      <c r="H28" s="38"/>
    </row>
    <row r="29" spans="1:16" x14ac:dyDescent="0.3">
      <c r="F29" s="20"/>
      <c r="G29" s="20"/>
      <c r="H29" s="20"/>
    </row>
    <row r="30" spans="1:16" ht="15" thickBot="1" x14ac:dyDescent="0.35">
      <c r="A30" s="32" t="s">
        <v>18</v>
      </c>
      <c r="B30" s="32" t="s">
        <v>17</v>
      </c>
      <c r="C30" s="73" t="s">
        <v>19</v>
      </c>
      <c r="D30" s="73"/>
      <c r="F30" s="83"/>
      <c r="G30" s="84"/>
      <c r="H30" s="82"/>
    </row>
    <row r="31" spans="1:16" x14ac:dyDescent="0.3">
      <c r="A31" s="41">
        <f>'Ope. TES'!K5</f>
        <v>1.0780934579173846</v>
      </c>
      <c r="B31" s="41">
        <f>'Ope. TES'!K8</f>
        <v>2.6815068493150681E-2</v>
      </c>
      <c r="C31" s="74">
        <f>'Ope. TES'!K11</f>
        <v>1.0512783894242339</v>
      </c>
      <c r="D31" s="74"/>
      <c r="F31" s="38"/>
      <c r="G31" s="85"/>
      <c r="H31" s="38"/>
    </row>
    <row r="32" spans="1:16" x14ac:dyDescent="0.3">
      <c r="B32" s="71"/>
      <c r="F32" s="50"/>
    </row>
    <row r="33" spans="6:8" x14ac:dyDescent="0.3">
      <c r="F33" s="47"/>
    </row>
    <row r="34" spans="6:8" x14ac:dyDescent="0.3">
      <c r="F34" s="50"/>
      <c r="H34" s="49"/>
    </row>
    <row r="35" spans="6:8" x14ac:dyDescent="0.3">
      <c r="F35" s="71"/>
    </row>
  </sheetData>
  <mergeCells count="16">
    <mergeCell ref="A1:E1"/>
    <mergeCell ref="C30:D30"/>
    <mergeCell ref="C31:D31"/>
    <mergeCell ref="F11:M11"/>
    <mergeCell ref="F18:H18"/>
    <mergeCell ref="F25:G25"/>
    <mergeCell ref="A2:B2"/>
    <mergeCell ref="C12:D12"/>
    <mergeCell ref="C13:D13"/>
    <mergeCell ref="C9:D9"/>
    <mergeCell ref="C10:D10"/>
    <mergeCell ref="F9:N9"/>
    <mergeCell ref="A19:B19"/>
    <mergeCell ref="A18:D18"/>
    <mergeCell ref="C27:D27"/>
    <mergeCell ref="C28:D28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3" r:id="rId4" name="Button 9">
              <controlPr defaultSize="0" print="0" autoFill="0" autoPict="0" macro="[0]!Borrar">
                <anchor moveWithCells="1" sizeWithCells="1">
                  <from>
                    <xdr:col>2</xdr:col>
                    <xdr:colOff>129540</xdr:colOff>
                    <xdr:row>22</xdr:row>
                    <xdr:rowOff>60960</xdr:rowOff>
                  </from>
                  <to>
                    <xdr:col>4</xdr:col>
                    <xdr:colOff>22860</xdr:colOff>
                    <xdr:row>24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5" name="Button 11">
              <controlPr defaultSize="0" print="0" autoFill="0" autoPict="0" macro="[0]!Limpiar">
                <anchor moveWithCells="1" sizeWithCells="1">
                  <from>
                    <xdr:col>2</xdr:col>
                    <xdr:colOff>274320</xdr:colOff>
                    <xdr:row>4</xdr:row>
                    <xdr:rowOff>38100</xdr:rowOff>
                  </from>
                  <to>
                    <xdr:col>4</xdr:col>
                    <xdr:colOff>548640</xdr:colOff>
                    <xdr:row>6</xdr:row>
                    <xdr:rowOff>114300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62C2A147-0368-491D-9C32-09A74F6E369F}">
          <x14:formula1>
            <xm:f>'Ope. TES Vigentes'!$A$2:$A$12</xm:f>
          </x14:formula1>
          <xm:sqref>D3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8A5C9F-8A65-491B-814F-4DD113191876}">
  <sheetPr codeName="Sheet3"/>
  <dimension ref="A1:N102"/>
  <sheetViews>
    <sheetView showGridLines="0" workbookViewId="0">
      <selection activeCell="P2" sqref="P2"/>
    </sheetView>
  </sheetViews>
  <sheetFormatPr defaultRowHeight="14.4" x14ac:dyDescent="0.3"/>
  <cols>
    <col min="1" max="1" width="18.5546875" style="2" bestFit="1" customWidth="1"/>
    <col min="2" max="2" width="8.88671875" style="2"/>
    <col min="3" max="3" width="8.88671875" style="49"/>
    <col min="4" max="4" width="13.21875" style="2" bestFit="1" customWidth="1"/>
    <col min="5" max="5" width="8.88671875" style="2"/>
    <col min="6" max="6" width="14.6640625" style="2" bestFit="1" customWidth="1"/>
    <col min="7" max="7" width="13.6640625" style="2" bestFit="1" customWidth="1"/>
    <col min="8" max="8" width="8.88671875" style="2"/>
    <col min="9" max="9" width="7.88671875" style="2" bestFit="1" customWidth="1"/>
    <col min="10" max="10" width="14.5546875" style="2" bestFit="1" customWidth="1"/>
    <col min="11" max="11" width="10.6640625" style="2" customWidth="1"/>
    <col min="12" max="12" width="8.88671875" style="2"/>
    <col min="13" max="13" width="7.88671875" style="2" bestFit="1" customWidth="1"/>
    <col min="14" max="14" width="15.6640625" style="2" bestFit="1" customWidth="1"/>
    <col min="15" max="16384" width="8.88671875" style="2"/>
  </cols>
  <sheetData>
    <row r="1" spans="1:14" ht="15" thickBot="1" x14ac:dyDescent="0.35">
      <c r="A1" s="5" t="s">
        <v>24</v>
      </c>
      <c r="B1" s="5" t="s">
        <v>25</v>
      </c>
      <c r="C1" s="52" t="s">
        <v>26</v>
      </c>
      <c r="D1" s="53" t="s">
        <v>19</v>
      </c>
      <c r="F1" s="29" t="s">
        <v>10</v>
      </c>
      <c r="G1" s="29" t="s">
        <v>9</v>
      </c>
      <c r="I1" s="29" t="s">
        <v>13</v>
      </c>
      <c r="J1" s="29" t="s">
        <v>12</v>
      </c>
      <c r="K1" s="26" t="s">
        <v>16</v>
      </c>
      <c r="M1" s="29" t="s">
        <v>13</v>
      </c>
      <c r="N1" s="29" t="s">
        <v>14</v>
      </c>
    </row>
    <row r="2" spans="1:14" x14ac:dyDescent="0.3">
      <c r="A2" s="47">
        <v>44685</v>
      </c>
      <c r="B2" s="48">
        <v>10</v>
      </c>
      <c r="C2" s="49">
        <v>7.0000000000000007E-2</v>
      </c>
      <c r="D2" s="51">
        <v>104.92400000000001</v>
      </c>
      <c r="F2" s="10">
        <f>COUPNUM(Resultados!B7,Resultados!D3,1,3)</f>
        <v>3</v>
      </c>
      <c r="G2" s="12">
        <f>Resultados!B5*Resultados!E3</f>
        <v>1400000.0000000002</v>
      </c>
      <c r="I2" s="1">
        <v>0</v>
      </c>
      <c r="J2" s="35">
        <f>COUPPCD(Resultados!B7,Resultados!D3,1,3)</f>
        <v>43589</v>
      </c>
      <c r="K2" s="34">
        <f>COUPDAYBS(Resultados!B7,Resultados!D3,1,3)</f>
        <v>321</v>
      </c>
      <c r="M2" s="1">
        <v>1</v>
      </c>
      <c r="N2" s="50">
        <f>IF($F$2&gt;=M2,IF($F$2=$M2,$G$2+Resultados!$B$5,'Ope. TES Vigentes'!$G$2)/((1+Resultados!$B$6)^('Ope. TES Vigentes'!K3/365)),"")</f>
        <v>1388627.8836946629</v>
      </c>
    </row>
    <row r="3" spans="1:14" x14ac:dyDescent="0.3">
      <c r="A3" s="54">
        <v>45497</v>
      </c>
      <c r="B3" s="55">
        <v>16</v>
      </c>
      <c r="C3" s="56">
        <v>0.1</v>
      </c>
      <c r="D3" s="58">
        <v>117.05200000000001</v>
      </c>
      <c r="I3" s="15">
        <v>1</v>
      </c>
      <c r="J3" s="36">
        <f>IF(I3&lt;=$F$2,COUPNCD(Resultados!B7,Resultados!$D$3,1,3),"")</f>
        <v>43955</v>
      </c>
      <c r="K3" s="37">
        <f>IF(J3-J2=366,COUPDAYSNC(Resultados!$B$7,J3,1,3)-1,COUPDAYSNC(Resultados!$B$7,J3,1,3))</f>
        <v>44</v>
      </c>
      <c r="M3" s="15">
        <v>2</v>
      </c>
      <c r="N3" s="57">
        <f>IF($F$2&gt;=M3,IF($F$2=$M3,$G$2+Resultados!$B$5,'Ope. TES Vigentes'!$G$2)/((1+Resultados!$B$6)^('Ope. TES Vigentes'!K4/365)),"")</f>
        <v>1297783.0688735165</v>
      </c>
    </row>
    <row r="4" spans="1:14" ht="15" thickBot="1" x14ac:dyDescent="0.35">
      <c r="A4" s="54">
        <v>45987</v>
      </c>
      <c r="B4" s="55">
        <v>8</v>
      </c>
      <c r="C4" s="56">
        <v>6.25E-2</v>
      </c>
      <c r="D4" s="58">
        <v>103.88500000000001</v>
      </c>
      <c r="F4" s="29" t="s">
        <v>15</v>
      </c>
      <c r="I4" s="15">
        <v>2</v>
      </c>
      <c r="J4" s="16">
        <f>IF(I4&lt;=$F$2,COUPNCD(J3,Resultados!$D$3,1,3),"")</f>
        <v>44320</v>
      </c>
      <c r="K4" s="23">
        <f>IF(I4&lt;=$F$2,K3+365,"")</f>
        <v>409</v>
      </c>
      <c r="M4" s="15">
        <v>3</v>
      </c>
      <c r="N4" s="57">
        <f>IF($F$2&gt;=M4,IF($F$2=$M4,$G$2+Resultados!$B$5,'Ope. TES Vigentes'!$G$2)/((1+Resultados!$B$6)^('Ope. TES Vigentes'!K5/365)),"")</f>
        <v>18539758.126764517</v>
      </c>
    </row>
    <row r="5" spans="1:14" x14ac:dyDescent="0.3">
      <c r="A5" s="54">
        <v>46260</v>
      </c>
      <c r="B5" s="55">
        <v>15</v>
      </c>
      <c r="C5" s="56">
        <v>7.4999999999999997E-2</v>
      </c>
      <c r="D5" s="58">
        <v>108.355</v>
      </c>
      <c r="F5" s="28">
        <f>SUM(N2:N101)</f>
        <v>21226169.079332698</v>
      </c>
      <c r="I5" s="15">
        <v>3</v>
      </c>
      <c r="J5" s="16">
        <f>IF(I5&lt;=$F$2,COUPNCD(J4,Resultados!$D$3,1,3),"")</f>
        <v>44685</v>
      </c>
      <c r="K5" s="23">
        <f t="shared" ref="K5:K68" si="0">IF(I5&lt;=$F$2,K4+365,"")</f>
        <v>774</v>
      </c>
      <c r="M5" s="15">
        <v>4</v>
      </c>
      <c r="N5" s="57" t="str">
        <f>IF($F$2&gt;=M5,IF($F$2=$M5,$G$2+Resultados!$B$5,'Ope. TES Vigentes'!$G$2)/((1+Resultados!$B$6)^('Ope. TES Vigentes'!K6/365)),"")</f>
        <v/>
      </c>
    </row>
    <row r="6" spans="1:14" x14ac:dyDescent="0.3">
      <c r="A6" s="54">
        <v>46694</v>
      </c>
      <c r="B6" s="55">
        <v>8</v>
      </c>
      <c r="C6" s="56">
        <v>5.7500000000000002E-2</v>
      </c>
      <c r="D6" s="58">
        <v>97.47</v>
      </c>
      <c r="F6" s="1"/>
      <c r="I6" s="15">
        <v>4</v>
      </c>
      <c r="J6" s="16" t="str">
        <f>IF(I6&lt;=$F$2,COUPNCD(J5,Resultados!$D$3,1,3),"")</f>
        <v/>
      </c>
      <c r="K6" s="23" t="str">
        <f t="shared" si="0"/>
        <v/>
      </c>
      <c r="M6" s="15">
        <v>5</v>
      </c>
      <c r="N6" s="57" t="str">
        <f>IF($F$2&gt;=M6,IF($F$2=$M6,$G$2+Resultados!$B$5,'Ope. TES Vigentes'!$G$2)/((1+Resultados!$B$6)^('Ope. TES Vigentes'!K7/365)),"")</f>
        <v/>
      </c>
    </row>
    <row r="7" spans="1:14" ht="15" thickBot="1" x14ac:dyDescent="0.35">
      <c r="A7" s="54">
        <v>46871</v>
      </c>
      <c r="B7" s="55">
        <v>16</v>
      </c>
      <c r="C7" s="56">
        <v>0.06</v>
      </c>
      <c r="D7" s="58">
        <v>97.768000000000001</v>
      </c>
      <c r="F7" s="29" t="s">
        <v>18</v>
      </c>
      <c r="I7" s="15">
        <v>5</v>
      </c>
      <c r="J7" s="16" t="str">
        <f>IF(I7&lt;=$F$2,COUPNCD(J6,Resultados!$D$3,1,3),"")</f>
        <v/>
      </c>
      <c r="K7" s="23" t="str">
        <f t="shared" si="0"/>
        <v/>
      </c>
      <c r="M7" s="15">
        <v>6</v>
      </c>
      <c r="N7" s="57" t="str">
        <f>IF($F$2&gt;=M7,IF($F$2=$M7,$G$2+Resultados!$B$5,'Ope. TES Vigentes'!$G$2)/((1+Resultados!$B$6)^('Ope. TES Vigentes'!K8/365)),"")</f>
        <v/>
      </c>
    </row>
    <row r="8" spans="1:14" x14ac:dyDescent="0.3">
      <c r="A8" s="54">
        <v>47744</v>
      </c>
      <c r="B8" s="55">
        <v>16</v>
      </c>
      <c r="C8" s="56">
        <v>7.7499999999999999E-2</v>
      </c>
      <c r="D8" s="58">
        <v>105.217</v>
      </c>
      <c r="F8" s="40">
        <f>F5/Resultados!B5</f>
        <v>1.0613084539666349</v>
      </c>
      <c r="I8" s="1">
        <v>6</v>
      </c>
      <c r="J8" s="16" t="str">
        <f>IF(I8&lt;=$F$2,COUPNCD(J7,Resultados!$D$3,1,3),"")</f>
        <v/>
      </c>
      <c r="K8" s="23" t="str">
        <f t="shared" si="0"/>
        <v/>
      </c>
      <c r="M8" s="15">
        <v>7</v>
      </c>
      <c r="N8" s="57" t="str">
        <f>IF($F$2&gt;=M8,IF($F$2=$M8,$G$2+Resultados!$B$5,'Ope. TES Vigentes'!$G$2)/((1+Resultados!$B$6)^('Ope. TES Vigentes'!K9/365)),"")</f>
        <v/>
      </c>
    </row>
    <row r="9" spans="1:14" x14ac:dyDescent="0.3">
      <c r="A9" s="54">
        <v>48395</v>
      </c>
      <c r="B9" s="55">
        <v>16</v>
      </c>
      <c r="C9" s="56">
        <v>7.0000000000000007E-2</v>
      </c>
      <c r="D9" s="58">
        <v>97.400999999999996</v>
      </c>
      <c r="F9" s="1"/>
      <c r="I9" s="15">
        <v>7</v>
      </c>
      <c r="J9" s="16" t="str">
        <f>IF(I9&lt;=$F$2,COUPNCD(J8,Resultados!$D$3,1,3),"")</f>
        <v/>
      </c>
      <c r="K9" s="23" t="str">
        <f t="shared" si="0"/>
        <v/>
      </c>
      <c r="M9" s="15">
        <v>8</v>
      </c>
      <c r="N9" s="57" t="str">
        <f>IF($F$2&gt;=M9,IF($F$2=$M9,$G$2+Resultados!$B$5,'Ope. TES Vigentes'!$G$2)/((1+Resultados!$B$6)^('Ope. TES Vigentes'!K10/365)),"")</f>
        <v/>
      </c>
    </row>
    <row r="10" spans="1:14" ht="15" thickBot="1" x14ac:dyDescent="0.35">
      <c r="A10" s="54">
        <v>49235</v>
      </c>
      <c r="B10" s="55">
        <v>16</v>
      </c>
      <c r="C10" s="56">
        <v>7.2499999999999995E-2</v>
      </c>
      <c r="D10" s="58">
        <v>97.623000000000005</v>
      </c>
      <c r="F10" s="29" t="s">
        <v>17</v>
      </c>
      <c r="I10" s="15">
        <v>8</v>
      </c>
      <c r="J10" s="16" t="str">
        <f>IF(I10&lt;=$F$2,COUPNCD(J9,Resultados!$D$3,1,3),"")</f>
        <v/>
      </c>
      <c r="K10" s="23" t="str">
        <f t="shared" si="0"/>
        <v/>
      </c>
      <c r="M10" s="15">
        <v>9</v>
      </c>
      <c r="N10" s="57" t="str">
        <f>IF($F$2&gt;=M10,IF($F$2=$M10,$G$2+Resultados!$B$5,'Ope. TES Vigentes'!$G$2)/((1+Resultados!$B$6)^('Ope. TES Vigentes'!K11/365)),"")</f>
        <v/>
      </c>
    </row>
    <row r="11" spans="1:14" x14ac:dyDescent="0.3">
      <c r="A11" s="54">
        <v>49865</v>
      </c>
      <c r="B11" s="55">
        <v>16</v>
      </c>
      <c r="C11" s="56">
        <v>6.25E-2</v>
      </c>
      <c r="D11" s="58">
        <v>87.587000000000003</v>
      </c>
      <c r="F11" s="40">
        <f>(K2/365)*Resultados!E3</f>
        <v>6.156164383561645E-2</v>
      </c>
      <c r="I11" s="15">
        <v>9</v>
      </c>
      <c r="J11" s="16" t="str">
        <f>IF(I11&lt;=$F$2,COUPNCD(J10,Resultados!$D$3,1,3),"")</f>
        <v/>
      </c>
      <c r="K11" s="23" t="str">
        <f t="shared" si="0"/>
        <v/>
      </c>
      <c r="M11" s="15">
        <v>10</v>
      </c>
      <c r="N11" s="57" t="str">
        <f>IF($F$2&gt;=M11,IF($F$2=$M11,$G$2+Resultados!$B$5,'Ope. TES Vigentes'!$G$2)/((1+Resultados!$B$6)^('Ope. TES Vigentes'!K12/365)),"")</f>
        <v/>
      </c>
    </row>
    <row r="12" spans="1:14" ht="15" thickBot="1" x14ac:dyDescent="0.35">
      <c r="A12" s="59">
        <v>55087</v>
      </c>
      <c r="B12" s="60">
        <v>31</v>
      </c>
      <c r="C12" s="61">
        <v>7.2499999999999995E-2</v>
      </c>
      <c r="D12" s="63">
        <v>91.311000000000007</v>
      </c>
      <c r="I12" s="15">
        <v>10</v>
      </c>
      <c r="J12" s="16" t="str">
        <f>IF(I12&lt;=$F$2,COUPNCD(J11,Resultados!$D$3,1,3),"")</f>
        <v/>
      </c>
      <c r="K12" s="23" t="str">
        <f t="shared" si="0"/>
        <v/>
      </c>
      <c r="M12" s="15">
        <v>11</v>
      </c>
      <c r="N12" s="57" t="str">
        <f>IF($F$2&gt;=M12,IF($F$2=$M12,$G$2+Resultados!$B$5,'Ope. TES Vigentes'!$G$2)/((1+Resultados!$B$6)^('Ope. TES Vigentes'!K13/365)),"")</f>
        <v/>
      </c>
    </row>
    <row r="13" spans="1:14" ht="15" thickBot="1" x14ac:dyDescent="0.35">
      <c r="F13" s="29" t="s">
        <v>19</v>
      </c>
      <c r="I13" s="15">
        <v>11</v>
      </c>
      <c r="J13" s="16" t="str">
        <f>IF(I13&lt;=$F$2,COUPNCD(J12,Resultados!$D$3,1,3),"")</f>
        <v/>
      </c>
      <c r="K13" s="23" t="str">
        <f t="shared" si="0"/>
        <v/>
      </c>
      <c r="M13" s="15">
        <v>12</v>
      </c>
      <c r="N13" s="57" t="str">
        <f>IF($F$2&gt;=M13,IF($F$2=$M13,$G$2+Resultados!$B$5,'Ope. TES Vigentes'!$G$2)/((1+Resultados!$B$6)^('Ope. TES Vigentes'!K14/365)),"")</f>
        <v/>
      </c>
    </row>
    <row r="14" spans="1:14" x14ac:dyDescent="0.3">
      <c r="F14" s="40">
        <f>F8-F11</f>
        <v>0.9997468101310184</v>
      </c>
      <c r="I14" s="1">
        <v>12</v>
      </c>
      <c r="J14" s="16" t="str">
        <f>IF(I14&lt;=$F$2,COUPNCD(J13,Resultados!$D$3,1,3),"")</f>
        <v/>
      </c>
      <c r="K14" s="23" t="str">
        <f t="shared" si="0"/>
        <v/>
      </c>
      <c r="M14" s="15">
        <v>13</v>
      </c>
      <c r="N14" s="57" t="str">
        <f>IF($F$2&gt;=M14,IF($F$2=$M14,$G$2+Resultados!$B$5,'Ope. TES Vigentes'!$G$2)/((1+Resultados!$B$6)^('Ope. TES Vigentes'!K15/365)),"")</f>
        <v/>
      </c>
    </row>
    <row r="15" spans="1:14" x14ac:dyDescent="0.3">
      <c r="I15" s="15">
        <v>13</v>
      </c>
      <c r="J15" s="16" t="str">
        <f>IF(I15&lt;=$F$2,COUPNCD(J14,Resultados!$D$3,1,3),"")</f>
        <v/>
      </c>
      <c r="K15" s="23" t="str">
        <f t="shared" si="0"/>
        <v/>
      </c>
      <c r="M15" s="15">
        <v>14</v>
      </c>
      <c r="N15" s="57" t="str">
        <f>IF($F$2&gt;=M15,IF($F$2=$M15,$G$2+Resultados!$B$5,'Ope. TES Vigentes'!$G$2)/((1+Resultados!$B$6)^('Ope. TES Vigentes'!K16/365)),"")</f>
        <v/>
      </c>
    </row>
    <row r="16" spans="1:14" x14ac:dyDescent="0.3">
      <c r="I16" s="15">
        <v>14</v>
      </c>
      <c r="J16" s="16" t="str">
        <f>IF(I16&lt;=$F$2,COUPNCD(J15,Resultados!$D$3,1,3),"")</f>
        <v/>
      </c>
      <c r="K16" s="23" t="str">
        <f t="shared" si="0"/>
        <v/>
      </c>
      <c r="M16" s="15">
        <v>15</v>
      </c>
      <c r="N16" s="57" t="str">
        <f>IF($F$2&gt;=M16,IF($F$2=$M16,$G$2+Resultados!$B$5,'Ope. TES Vigentes'!$G$2)/((1+Resultados!$B$6)^('Ope. TES Vigentes'!K17/365)),"")</f>
        <v/>
      </c>
    </row>
    <row r="17" spans="9:14" x14ac:dyDescent="0.3">
      <c r="I17" s="15">
        <v>15</v>
      </c>
      <c r="J17" s="16" t="str">
        <f>IF(I17&lt;=$F$2,COUPNCD(J16,Resultados!$D$3,1,3),"")</f>
        <v/>
      </c>
      <c r="K17" s="23" t="str">
        <f t="shared" si="0"/>
        <v/>
      </c>
      <c r="M17" s="15">
        <v>16</v>
      </c>
      <c r="N17" s="57" t="str">
        <f>IF($F$2&gt;=M17,IF($F$2=$M17,$G$2+Resultados!$B$5,'Ope. TES Vigentes'!$G$2)/((1+Resultados!$B$6)^('Ope. TES Vigentes'!K18/365)),"")</f>
        <v/>
      </c>
    </row>
    <row r="18" spans="9:14" x14ac:dyDescent="0.3">
      <c r="I18" s="15">
        <v>16</v>
      </c>
      <c r="J18" s="16" t="str">
        <f>IF(I18&lt;=$F$2,COUPNCD(J17,Resultados!$D$3,1,3),"")</f>
        <v/>
      </c>
      <c r="K18" s="23" t="str">
        <f t="shared" si="0"/>
        <v/>
      </c>
      <c r="M18" s="15">
        <v>17</v>
      </c>
      <c r="N18" s="57" t="str">
        <f>IF($F$2&gt;=M18,IF($F$2=$M18,$G$2+Resultados!$B$5,'Ope. TES Vigentes'!$G$2)/((1+Resultados!$B$6)^('Ope. TES Vigentes'!K19/365)),"")</f>
        <v/>
      </c>
    </row>
    <row r="19" spans="9:14" x14ac:dyDescent="0.3">
      <c r="I19" s="15">
        <v>17</v>
      </c>
      <c r="J19" s="16" t="str">
        <f>IF(I19&lt;=$F$2,COUPNCD(J18,Resultados!$D$3,1,3),"")</f>
        <v/>
      </c>
      <c r="K19" s="23" t="str">
        <f t="shared" si="0"/>
        <v/>
      </c>
      <c r="M19" s="15">
        <v>18</v>
      </c>
      <c r="N19" s="57" t="str">
        <f>IF($F$2&gt;=M19,IF($F$2=$M19,$G$2+Resultados!$B$5,'Ope. TES Vigentes'!$G$2)/((1+Resultados!$B$6)^('Ope. TES Vigentes'!K20/365)),"")</f>
        <v/>
      </c>
    </row>
    <row r="20" spans="9:14" x14ac:dyDescent="0.3">
      <c r="I20" s="1">
        <v>18</v>
      </c>
      <c r="J20" s="16" t="str">
        <f>IF(I20&lt;=$F$2,COUPNCD(J19,Resultados!$D$3,1,3),"")</f>
        <v/>
      </c>
      <c r="K20" s="23" t="str">
        <f t="shared" si="0"/>
        <v/>
      </c>
      <c r="M20" s="15">
        <v>19</v>
      </c>
      <c r="N20" s="57" t="str">
        <f>IF($F$2&gt;=M20,IF($F$2=$M20,$G$2+Resultados!$B$5,'Ope. TES Vigentes'!$G$2)/((1+Resultados!$B$6)^('Ope. TES Vigentes'!K21/365)),"")</f>
        <v/>
      </c>
    </row>
    <row r="21" spans="9:14" x14ac:dyDescent="0.3">
      <c r="I21" s="15">
        <v>19</v>
      </c>
      <c r="J21" s="16" t="str">
        <f>IF(I21&lt;=$F$2,COUPNCD(J20,Resultados!$D$3,1,3),"")</f>
        <v/>
      </c>
      <c r="K21" s="23" t="str">
        <f t="shared" si="0"/>
        <v/>
      </c>
      <c r="M21" s="15">
        <v>20</v>
      </c>
      <c r="N21" s="57" t="str">
        <f>IF($F$2&gt;=M21,IF($F$2=$M21,$G$2+Resultados!$B$5,'Ope. TES Vigentes'!$G$2)/((1+Resultados!$B$6)^('Ope. TES Vigentes'!K22/365)),"")</f>
        <v/>
      </c>
    </row>
    <row r="22" spans="9:14" x14ac:dyDescent="0.3">
      <c r="I22" s="15">
        <v>20</v>
      </c>
      <c r="J22" s="16" t="str">
        <f>IF(I22&lt;=$F$2,COUPNCD(J21,Resultados!$D$3,1,3),"")</f>
        <v/>
      </c>
      <c r="K22" s="23" t="str">
        <f t="shared" si="0"/>
        <v/>
      </c>
      <c r="M22" s="15">
        <v>21</v>
      </c>
      <c r="N22" s="57" t="str">
        <f>IF($F$2&gt;=M22,IF($F$2=$M22,$G$2+Resultados!$B$5,'Ope. TES Vigentes'!$G$2)/((1+Resultados!$B$6)^('Ope. TES Vigentes'!K23/365)),"")</f>
        <v/>
      </c>
    </row>
    <row r="23" spans="9:14" x14ac:dyDescent="0.3">
      <c r="I23" s="15">
        <v>21</v>
      </c>
      <c r="J23" s="16" t="str">
        <f>IF(I23&lt;=$F$2,COUPNCD(J22,Resultados!$D$3,1,3),"")</f>
        <v/>
      </c>
      <c r="K23" s="23" t="str">
        <f t="shared" si="0"/>
        <v/>
      </c>
      <c r="M23" s="15">
        <v>22</v>
      </c>
      <c r="N23" s="57" t="str">
        <f>IF($F$2&gt;=M23,IF($F$2=$M23,$G$2+Resultados!$B$5,'Ope. TES Vigentes'!$G$2)/((1+Resultados!$B$6)^('Ope. TES Vigentes'!K24/365)),"")</f>
        <v/>
      </c>
    </row>
    <row r="24" spans="9:14" x14ac:dyDescent="0.3">
      <c r="I24" s="15">
        <v>22</v>
      </c>
      <c r="J24" s="16" t="str">
        <f>IF(I24&lt;=$F$2,COUPNCD(J23,Resultados!$D$3,1,3),"")</f>
        <v/>
      </c>
      <c r="K24" s="23" t="str">
        <f t="shared" si="0"/>
        <v/>
      </c>
      <c r="M24" s="15">
        <v>23</v>
      </c>
      <c r="N24" s="57" t="str">
        <f>IF($F$2&gt;=M24,IF($F$2=$M24,$G$2+Resultados!$B$5,'Ope. TES Vigentes'!$G$2)/((1+Resultados!$B$6)^('Ope. TES Vigentes'!K25/365)),"")</f>
        <v/>
      </c>
    </row>
    <row r="25" spans="9:14" x14ac:dyDescent="0.3">
      <c r="I25" s="15">
        <v>23</v>
      </c>
      <c r="J25" s="16" t="str">
        <f>IF(I25&lt;=$F$2,COUPNCD(J24,Resultados!$D$3,1,3),"")</f>
        <v/>
      </c>
      <c r="K25" s="23" t="str">
        <f t="shared" si="0"/>
        <v/>
      </c>
      <c r="M25" s="15">
        <v>24</v>
      </c>
      <c r="N25" s="57" t="str">
        <f>IF($F$2&gt;=M25,IF($F$2=$M25,$G$2+Resultados!$B$5,'Ope. TES Vigentes'!$G$2)/((1+Resultados!$B$6)^('Ope. TES Vigentes'!K26/365)),"")</f>
        <v/>
      </c>
    </row>
    <row r="26" spans="9:14" x14ac:dyDescent="0.3">
      <c r="I26" s="1">
        <v>24</v>
      </c>
      <c r="J26" s="16" t="str">
        <f>IF(I26&lt;=$F$2,COUPNCD(J25,Resultados!$D$3,1,3),"")</f>
        <v/>
      </c>
      <c r="K26" s="23" t="str">
        <f t="shared" si="0"/>
        <v/>
      </c>
      <c r="M26" s="15">
        <v>25</v>
      </c>
      <c r="N26" s="57" t="str">
        <f>IF($F$2&gt;=M26,IF($F$2=$M26,$G$2+Resultados!$B$5,'Ope. TES Vigentes'!$G$2)/((1+Resultados!$B$6)^('Ope. TES Vigentes'!K27/365)),"")</f>
        <v/>
      </c>
    </row>
    <row r="27" spans="9:14" x14ac:dyDescent="0.3">
      <c r="I27" s="15">
        <v>25</v>
      </c>
      <c r="J27" s="16" t="str">
        <f>IF(I27&lt;=$F$2,COUPNCD(J26,Resultados!$D$3,1,3),"")</f>
        <v/>
      </c>
      <c r="K27" s="23" t="str">
        <f t="shared" si="0"/>
        <v/>
      </c>
      <c r="M27" s="15">
        <v>26</v>
      </c>
      <c r="N27" s="57" t="str">
        <f>IF($F$2&gt;=M27,IF($F$2=$M27,$G$2+Resultados!$B$5,'Ope. TES Vigentes'!$G$2)/((1+Resultados!$B$6)^('Ope. TES Vigentes'!K28/365)),"")</f>
        <v/>
      </c>
    </row>
    <row r="28" spans="9:14" x14ac:dyDescent="0.3">
      <c r="I28" s="15">
        <v>26</v>
      </c>
      <c r="J28" s="16" t="str">
        <f>IF(I28&lt;=$F$2,COUPNCD(J27,Resultados!$D$3,1,3),"")</f>
        <v/>
      </c>
      <c r="K28" s="23" t="str">
        <f t="shared" si="0"/>
        <v/>
      </c>
      <c r="M28" s="15">
        <v>27</v>
      </c>
      <c r="N28" s="57" t="str">
        <f>IF($F$2&gt;=M28,IF($F$2=$M28,$G$2+Resultados!$B$5,'Ope. TES Vigentes'!$G$2)/((1+Resultados!$B$6)^('Ope. TES Vigentes'!K29/365)),"")</f>
        <v/>
      </c>
    </row>
    <row r="29" spans="9:14" x14ac:dyDescent="0.3">
      <c r="I29" s="15">
        <v>27</v>
      </c>
      <c r="J29" s="16" t="str">
        <f>IF(I29&lt;=$F$2,COUPNCD(J28,Resultados!$D$3,1,3),"")</f>
        <v/>
      </c>
      <c r="K29" s="23" t="str">
        <f t="shared" si="0"/>
        <v/>
      </c>
      <c r="M29" s="15">
        <v>28</v>
      </c>
      <c r="N29" s="57" t="str">
        <f>IF($F$2&gt;=M29,IF($F$2=$M29,$G$2+Resultados!$B$5,'Ope. TES Vigentes'!$G$2)/((1+Resultados!$B$6)^('Ope. TES Vigentes'!K30/365)),"")</f>
        <v/>
      </c>
    </row>
    <row r="30" spans="9:14" x14ac:dyDescent="0.3">
      <c r="I30" s="15">
        <v>28</v>
      </c>
      <c r="J30" s="16" t="str">
        <f>IF(I30&lt;=$F$2,COUPNCD(J29,Resultados!$D$3,1,3),"")</f>
        <v/>
      </c>
      <c r="K30" s="23" t="str">
        <f t="shared" si="0"/>
        <v/>
      </c>
      <c r="M30" s="15">
        <v>29</v>
      </c>
      <c r="N30" s="57" t="str">
        <f>IF($F$2&gt;=M30,IF($F$2=$M30,$G$2+Resultados!$B$5,'Ope. TES Vigentes'!$G$2)/((1+Resultados!$B$6)^('Ope. TES Vigentes'!K31/365)),"")</f>
        <v/>
      </c>
    </row>
    <row r="31" spans="9:14" x14ac:dyDescent="0.3">
      <c r="I31" s="15">
        <v>29</v>
      </c>
      <c r="J31" s="16" t="str">
        <f>IF(I31&lt;=$F$2,COUPNCD(J30,Resultados!$D$3,1,3),"")</f>
        <v/>
      </c>
      <c r="K31" s="23" t="str">
        <f t="shared" si="0"/>
        <v/>
      </c>
      <c r="M31" s="15">
        <v>30</v>
      </c>
      <c r="N31" s="57" t="str">
        <f>IF($F$2&gt;=M31,IF($F$2=$M31,$G$2+Resultados!$B$5,'Ope. TES Vigentes'!$G$2)/((1+Resultados!$B$6)^('Ope. TES Vigentes'!K32/365)),"")</f>
        <v/>
      </c>
    </row>
    <row r="32" spans="9:14" x14ac:dyDescent="0.3">
      <c r="I32" s="1">
        <v>30</v>
      </c>
      <c r="J32" s="16" t="str">
        <f>IF(I32&lt;=$F$2,COUPNCD(J31,Resultados!$D$3,1,3),"")</f>
        <v/>
      </c>
      <c r="K32" s="23" t="str">
        <f t="shared" si="0"/>
        <v/>
      </c>
      <c r="M32" s="15">
        <v>31</v>
      </c>
      <c r="N32" s="57" t="str">
        <f>IF($F$2&gt;=M32,IF($F$2=$M32,$G$2+Resultados!$B$5,'Ope. TES Vigentes'!$G$2)/((1+Resultados!$B$6)^('Ope. TES Vigentes'!K33/365)),"")</f>
        <v/>
      </c>
    </row>
    <row r="33" spans="9:14" x14ac:dyDescent="0.3">
      <c r="I33" s="15">
        <v>31</v>
      </c>
      <c r="J33" s="16" t="str">
        <f>IF(I33&lt;=$F$2,COUPNCD(J32,Resultados!$D$3,1,3),"")</f>
        <v/>
      </c>
      <c r="K33" s="23" t="str">
        <f t="shared" si="0"/>
        <v/>
      </c>
      <c r="M33" s="15">
        <v>32</v>
      </c>
      <c r="N33" s="57" t="str">
        <f>IF($F$2&gt;=M33,IF($F$2=$M33,$G$2+Resultados!$B$5,'Ope. TES Vigentes'!$G$2)/((1+Resultados!$B$6)^('Ope. TES Vigentes'!K34/365)),"")</f>
        <v/>
      </c>
    </row>
    <row r="34" spans="9:14" x14ac:dyDescent="0.3">
      <c r="I34" s="15">
        <v>32</v>
      </c>
      <c r="J34" s="16" t="str">
        <f>IF(I34&lt;=$F$2,COUPNCD(J33,Resultados!$D$3,1,3),"")</f>
        <v/>
      </c>
      <c r="K34" s="23" t="str">
        <f t="shared" si="0"/>
        <v/>
      </c>
      <c r="M34" s="15">
        <v>33</v>
      </c>
      <c r="N34" s="57" t="str">
        <f>IF($F$2&gt;=M34,IF($F$2=$M34,$G$2+Resultados!$B$5,'Ope. TES Vigentes'!$G$2)/((1+Resultados!$B$6)^('Ope. TES Vigentes'!K35/365)),"")</f>
        <v/>
      </c>
    </row>
    <row r="35" spans="9:14" x14ac:dyDescent="0.3">
      <c r="I35" s="15">
        <v>33</v>
      </c>
      <c r="J35" s="16" t="str">
        <f>IF(I35&lt;=$F$2,COUPNCD(J34,Resultados!$D$3,1,3),"")</f>
        <v/>
      </c>
      <c r="K35" s="23" t="str">
        <f t="shared" si="0"/>
        <v/>
      </c>
      <c r="M35" s="15">
        <v>34</v>
      </c>
      <c r="N35" s="57" t="str">
        <f>IF($F$2&gt;=M35,IF($F$2=$M35,$G$2+Resultados!$B$5,'Ope. TES Vigentes'!$G$2)/((1+Resultados!$B$6)^('Ope. TES Vigentes'!K36/365)),"")</f>
        <v/>
      </c>
    </row>
    <row r="36" spans="9:14" x14ac:dyDescent="0.3">
      <c r="I36" s="15">
        <v>34</v>
      </c>
      <c r="J36" s="16" t="str">
        <f>IF(I36&lt;=$F$2,COUPNCD(J35,Resultados!$D$3,1,3),"")</f>
        <v/>
      </c>
      <c r="K36" s="23" t="str">
        <f t="shared" si="0"/>
        <v/>
      </c>
      <c r="M36" s="15">
        <v>35</v>
      </c>
      <c r="N36" s="57" t="str">
        <f>IF($F$2&gt;=M36,IF($F$2=$M36,$G$2+Resultados!$B$5,'Ope. TES Vigentes'!$G$2)/((1+Resultados!$B$6)^('Ope. TES Vigentes'!K37/365)),"")</f>
        <v/>
      </c>
    </row>
    <row r="37" spans="9:14" x14ac:dyDescent="0.3">
      <c r="I37" s="15">
        <v>35</v>
      </c>
      <c r="J37" s="16" t="str">
        <f>IF(I37&lt;=$F$2,COUPNCD(J36,Resultados!$D$3,1,3),"")</f>
        <v/>
      </c>
      <c r="K37" s="23" t="str">
        <f t="shared" si="0"/>
        <v/>
      </c>
      <c r="M37" s="15">
        <v>36</v>
      </c>
      <c r="N37" s="57" t="str">
        <f>IF($F$2&gt;=M37,IF($F$2=$M37,$G$2+Resultados!$B$5,'Ope. TES Vigentes'!$G$2)/((1+Resultados!$B$6)^('Ope. TES Vigentes'!K38/365)),"")</f>
        <v/>
      </c>
    </row>
    <row r="38" spans="9:14" x14ac:dyDescent="0.3">
      <c r="I38" s="1">
        <v>36</v>
      </c>
      <c r="J38" s="16" t="str">
        <f>IF(I38&lt;=$F$2,COUPNCD(J37,Resultados!$D$3,1,3),"")</f>
        <v/>
      </c>
      <c r="K38" s="23" t="str">
        <f t="shared" si="0"/>
        <v/>
      </c>
      <c r="M38" s="15">
        <v>37</v>
      </c>
      <c r="N38" s="57" t="str">
        <f>IF($F$2&gt;=M38,IF($F$2=$M38,$G$2+Resultados!$B$5,'Ope. TES Vigentes'!$G$2)/((1+Resultados!$B$6)^('Ope. TES Vigentes'!K39/365)),"")</f>
        <v/>
      </c>
    </row>
    <row r="39" spans="9:14" x14ac:dyDescent="0.3">
      <c r="I39" s="15">
        <v>37</v>
      </c>
      <c r="J39" s="16" t="str">
        <f>IF(I39&lt;=$F$2,COUPNCD(J38,Resultados!$D$3,1,3),"")</f>
        <v/>
      </c>
      <c r="K39" s="23" t="str">
        <f t="shared" si="0"/>
        <v/>
      </c>
      <c r="M39" s="15">
        <v>38</v>
      </c>
      <c r="N39" s="57" t="str">
        <f>IF($F$2&gt;=M39,IF($F$2=$M39,$G$2+Resultados!$B$5,'Ope. TES Vigentes'!$G$2)/((1+Resultados!$B$6)^('Ope. TES Vigentes'!K40/365)),"")</f>
        <v/>
      </c>
    </row>
    <row r="40" spans="9:14" x14ac:dyDescent="0.3">
      <c r="I40" s="15">
        <v>38</v>
      </c>
      <c r="J40" s="16" t="str">
        <f>IF(I40&lt;=$F$2,COUPNCD(J39,Resultados!$D$3,1,3),"")</f>
        <v/>
      </c>
      <c r="K40" s="23" t="str">
        <f t="shared" si="0"/>
        <v/>
      </c>
      <c r="M40" s="15">
        <v>39</v>
      </c>
      <c r="N40" s="57" t="str">
        <f>IF($F$2&gt;=M40,IF($F$2=$M40,$G$2+Resultados!$B$5,'Ope. TES Vigentes'!$G$2)/((1+Resultados!$B$6)^('Ope. TES Vigentes'!K41/365)),"")</f>
        <v/>
      </c>
    </row>
    <row r="41" spans="9:14" x14ac:dyDescent="0.3">
      <c r="I41" s="15">
        <v>39</v>
      </c>
      <c r="J41" s="16" t="str">
        <f>IF(I41&lt;=$F$2,COUPNCD(J40,Resultados!$D$3,1,3),"")</f>
        <v/>
      </c>
      <c r="K41" s="23" t="str">
        <f t="shared" si="0"/>
        <v/>
      </c>
      <c r="M41" s="15">
        <v>40</v>
      </c>
      <c r="N41" s="57" t="str">
        <f>IF($F$2&gt;=M41,IF($F$2=$M41,$G$2+Resultados!$B$5,'Ope. TES Vigentes'!$G$2)/((1+Resultados!$B$6)^('Ope. TES Vigentes'!K42/365)),"")</f>
        <v/>
      </c>
    </row>
    <row r="42" spans="9:14" x14ac:dyDescent="0.3">
      <c r="I42" s="15">
        <v>40</v>
      </c>
      <c r="J42" s="16" t="str">
        <f>IF(I42&lt;=$F$2,COUPNCD(J41,Resultados!$D$3,1,3),"")</f>
        <v/>
      </c>
      <c r="K42" s="23" t="str">
        <f t="shared" si="0"/>
        <v/>
      </c>
      <c r="M42" s="15">
        <v>41</v>
      </c>
      <c r="N42" s="57" t="str">
        <f>IF($F$2&gt;=M42,IF($F$2=$M42,$G$2+Resultados!$B$5,'Ope. TES Vigentes'!$G$2)/((1+Resultados!$B$6)^('Ope. TES Vigentes'!K43/365)),"")</f>
        <v/>
      </c>
    </row>
    <row r="43" spans="9:14" x14ac:dyDescent="0.3">
      <c r="I43" s="15">
        <v>41</v>
      </c>
      <c r="J43" s="16" t="str">
        <f>IF(I43&lt;=$F$2,COUPNCD(J42,Resultados!$D$3,1,3),"")</f>
        <v/>
      </c>
      <c r="K43" s="23" t="str">
        <f t="shared" si="0"/>
        <v/>
      </c>
      <c r="M43" s="15">
        <v>42</v>
      </c>
      <c r="N43" s="57" t="str">
        <f>IF($F$2&gt;=M43,IF($F$2=$M43,$G$2+Resultados!$B$5,'Ope. TES Vigentes'!$G$2)/((1+Resultados!$B$6)^('Ope. TES Vigentes'!K44/365)),"")</f>
        <v/>
      </c>
    </row>
    <row r="44" spans="9:14" x14ac:dyDescent="0.3">
      <c r="I44" s="1">
        <v>42</v>
      </c>
      <c r="J44" s="16" t="str">
        <f>IF(I44&lt;=$F$2,COUPNCD(J43,Resultados!$D$3,1,3),"")</f>
        <v/>
      </c>
      <c r="K44" s="23" t="str">
        <f t="shared" si="0"/>
        <v/>
      </c>
      <c r="M44" s="15">
        <v>43</v>
      </c>
      <c r="N44" s="57" t="str">
        <f>IF($F$2&gt;=M44,IF($F$2=$M44,$G$2+Resultados!$B$5,'Ope. TES Vigentes'!$G$2)/((1+Resultados!$B$6)^('Ope. TES Vigentes'!K45/365)),"")</f>
        <v/>
      </c>
    </row>
    <row r="45" spans="9:14" x14ac:dyDescent="0.3">
      <c r="I45" s="15">
        <v>43</v>
      </c>
      <c r="J45" s="16" t="str">
        <f>IF(I45&lt;=$F$2,COUPNCD(J44,Resultados!$D$3,1,3),"")</f>
        <v/>
      </c>
      <c r="K45" s="23" t="str">
        <f t="shared" si="0"/>
        <v/>
      </c>
      <c r="M45" s="15">
        <v>44</v>
      </c>
      <c r="N45" s="57" t="str">
        <f>IF($F$2&gt;=M45,IF($F$2=$M45,$G$2+Resultados!$B$5,'Ope. TES Vigentes'!$G$2)/((1+Resultados!$B$6)^('Ope. TES Vigentes'!K46/365)),"")</f>
        <v/>
      </c>
    </row>
    <row r="46" spans="9:14" x14ac:dyDescent="0.3">
      <c r="I46" s="15">
        <v>44</v>
      </c>
      <c r="J46" s="16" t="str">
        <f>IF(I46&lt;=$F$2,COUPNCD(J45,Resultados!$D$3,1,3),"")</f>
        <v/>
      </c>
      <c r="K46" s="23" t="str">
        <f t="shared" si="0"/>
        <v/>
      </c>
      <c r="M46" s="15">
        <v>45</v>
      </c>
      <c r="N46" s="57" t="str">
        <f>IF($F$2&gt;=M46,IF($F$2=$M46,$G$2+Resultados!$B$5,'Ope. TES Vigentes'!$G$2)/((1+Resultados!$B$6)^('Ope. TES Vigentes'!K47/365)),"")</f>
        <v/>
      </c>
    </row>
    <row r="47" spans="9:14" x14ac:dyDescent="0.3">
      <c r="I47" s="15">
        <v>45</v>
      </c>
      <c r="J47" s="16" t="str">
        <f>IF(I47&lt;=$F$2,COUPNCD(J46,Resultados!$D$3,1,3),"")</f>
        <v/>
      </c>
      <c r="K47" s="23" t="str">
        <f t="shared" si="0"/>
        <v/>
      </c>
      <c r="M47" s="15">
        <v>46</v>
      </c>
      <c r="N47" s="57" t="str">
        <f>IF($F$2&gt;=M47,IF($F$2=$M47,$G$2+Resultados!$B$5,'Ope. TES Vigentes'!$G$2)/((1+Resultados!$B$6)^('Ope. TES Vigentes'!K48/365)),"")</f>
        <v/>
      </c>
    </row>
    <row r="48" spans="9:14" x14ac:dyDescent="0.3">
      <c r="I48" s="15">
        <v>46</v>
      </c>
      <c r="J48" s="16" t="str">
        <f>IF(I48&lt;=$F$2,COUPNCD(J47,Resultados!$D$3,1,3),"")</f>
        <v/>
      </c>
      <c r="K48" s="23" t="str">
        <f t="shared" si="0"/>
        <v/>
      </c>
      <c r="M48" s="15">
        <v>47</v>
      </c>
      <c r="N48" s="57" t="str">
        <f>IF($F$2&gt;=M48,IF($F$2=$M48,$G$2+Resultados!$B$5,'Ope. TES Vigentes'!$G$2)/((1+Resultados!$B$6)^('Ope. TES Vigentes'!K49/365)),"")</f>
        <v/>
      </c>
    </row>
    <row r="49" spans="9:14" x14ac:dyDescent="0.3">
      <c r="I49" s="15">
        <v>47</v>
      </c>
      <c r="J49" s="16" t="str">
        <f>IF(I49&lt;=$F$2,COUPNCD(J48,Resultados!$D$3,1,3),"")</f>
        <v/>
      </c>
      <c r="K49" s="23" t="str">
        <f t="shared" si="0"/>
        <v/>
      </c>
      <c r="M49" s="15">
        <v>48</v>
      </c>
      <c r="N49" s="57" t="str">
        <f>IF($F$2&gt;=M49,IF($F$2=$M49,$G$2+Resultados!$B$5,'Ope. TES Vigentes'!$G$2)/((1+Resultados!$B$6)^('Ope. TES Vigentes'!K50/365)),"")</f>
        <v/>
      </c>
    </row>
    <row r="50" spans="9:14" x14ac:dyDescent="0.3">
      <c r="I50" s="1">
        <v>48</v>
      </c>
      <c r="J50" s="16" t="str">
        <f>IF(I50&lt;=$F$2,COUPNCD(J49,Resultados!$D$3,1,3),"")</f>
        <v/>
      </c>
      <c r="K50" s="23" t="str">
        <f t="shared" si="0"/>
        <v/>
      </c>
      <c r="M50" s="15">
        <v>49</v>
      </c>
      <c r="N50" s="57" t="str">
        <f>IF($F$2&gt;=M50,IF($F$2=$M50,$G$2+Resultados!$B$5,'Ope. TES Vigentes'!$G$2)/((1+Resultados!$B$6)^('Ope. TES Vigentes'!K51/365)),"")</f>
        <v/>
      </c>
    </row>
    <row r="51" spans="9:14" x14ac:dyDescent="0.3">
      <c r="I51" s="15">
        <v>49</v>
      </c>
      <c r="J51" s="16" t="str">
        <f>IF(I51&lt;=$F$2,COUPNCD(J50,Resultados!$D$3,1,3),"")</f>
        <v/>
      </c>
      <c r="K51" s="23" t="str">
        <f t="shared" si="0"/>
        <v/>
      </c>
      <c r="M51" s="15">
        <v>50</v>
      </c>
      <c r="N51" s="57" t="str">
        <f>IF($F$2&gt;=M51,IF($F$2=$M51,$G$2+Resultados!$B$5,'Ope. TES Vigentes'!$G$2)/((1+Resultados!$B$6)^('Ope. TES Vigentes'!K52/365)),"")</f>
        <v/>
      </c>
    </row>
    <row r="52" spans="9:14" x14ac:dyDescent="0.3">
      <c r="I52" s="15">
        <v>50</v>
      </c>
      <c r="J52" s="16" t="str">
        <f>IF(I52&lt;=$F$2,COUPNCD(J51,Resultados!$D$3,1,3),"")</f>
        <v/>
      </c>
      <c r="K52" s="23" t="str">
        <f t="shared" si="0"/>
        <v/>
      </c>
      <c r="M52" s="15">
        <v>51</v>
      </c>
      <c r="N52" s="57" t="str">
        <f>IF($F$2&gt;=M52,IF($F$2=$M52,$G$2+Resultados!$B$5,'Ope. TES Vigentes'!$G$2)/((1+Resultados!$B$6)^('Ope. TES Vigentes'!K53/365)),"")</f>
        <v/>
      </c>
    </row>
    <row r="53" spans="9:14" x14ac:dyDescent="0.3">
      <c r="I53" s="15">
        <v>51</v>
      </c>
      <c r="J53" s="16" t="str">
        <f>IF(I53&lt;=$F$2,COUPNCD(J52,Resultados!$D$3,1,3),"")</f>
        <v/>
      </c>
      <c r="K53" s="23" t="str">
        <f t="shared" si="0"/>
        <v/>
      </c>
      <c r="M53" s="15">
        <v>52</v>
      </c>
      <c r="N53" s="57" t="str">
        <f>IF($F$2&gt;=M53,IF($F$2=$M53,$G$2+Resultados!$B$5,'Ope. TES Vigentes'!$G$2)/((1+Resultados!$B$6)^('Ope. TES Vigentes'!K54/365)),"")</f>
        <v/>
      </c>
    </row>
    <row r="54" spans="9:14" x14ac:dyDescent="0.3">
      <c r="I54" s="15">
        <v>52</v>
      </c>
      <c r="J54" s="16" t="str">
        <f>IF(I54&lt;=$F$2,COUPNCD(J53,Resultados!$D$3,1,3),"")</f>
        <v/>
      </c>
      <c r="K54" s="23" t="str">
        <f t="shared" si="0"/>
        <v/>
      </c>
      <c r="M54" s="15">
        <v>53</v>
      </c>
      <c r="N54" s="57" t="str">
        <f>IF($F$2&gt;=M54,IF($F$2=$M54,$G$2+Resultados!$B$5,'Ope. TES Vigentes'!$G$2)/((1+Resultados!$B$6)^('Ope. TES Vigentes'!K55/365)),"")</f>
        <v/>
      </c>
    </row>
    <row r="55" spans="9:14" x14ac:dyDescent="0.3">
      <c r="I55" s="15">
        <v>53</v>
      </c>
      <c r="J55" s="16" t="str">
        <f>IF(I55&lt;=$F$2,COUPNCD(J54,Resultados!$D$3,1,3),"")</f>
        <v/>
      </c>
      <c r="K55" s="23" t="str">
        <f t="shared" si="0"/>
        <v/>
      </c>
      <c r="M55" s="15">
        <v>54</v>
      </c>
      <c r="N55" s="57" t="str">
        <f>IF($F$2&gt;=M55,IF($F$2=$M55,$G$2+Resultados!$B$5,'Ope. TES Vigentes'!$G$2)/((1+Resultados!$B$6)^('Ope. TES Vigentes'!K56/365)),"")</f>
        <v/>
      </c>
    </row>
    <row r="56" spans="9:14" x14ac:dyDescent="0.3">
      <c r="I56" s="1">
        <v>54</v>
      </c>
      <c r="J56" s="16" t="str">
        <f>IF(I56&lt;=$F$2,COUPNCD(J55,Resultados!$D$3,1,3),"")</f>
        <v/>
      </c>
      <c r="K56" s="23" t="str">
        <f t="shared" si="0"/>
        <v/>
      </c>
      <c r="M56" s="15">
        <v>55</v>
      </c>
      <c r="N56" s="57" t="str">
        <f>IF($F$2&gt;=M56,IF($F$2=$M56,$G$2+Resultados!$B$5,'Ope. TES Vigentes'!$G$2)/((1+Resultados!$B$6)^('Ope. TES Vigentes'!K57/365)),"")</f>
        <v/>
      </c>
    </row>
    <row r="57" spans="9:14" x14ac:dyDescent="0.3">
      <c r="I57" s="15">
        <v>55</v>
      </c>
      <c r="J57" s="16" t="str">
        <f>IF(I57&lt;=$F$2,COUPNCD(J56,Resultados!$D$3,1,3),"")</f>
        <v/>
      </c>
      <c r="K57" s="23" t="str">
        <f t="shared" si="0"/>
        <v/>
      </c>
      <c r="M57" s="15">
        <v>56</v>
      </c>
      <c r="N57" s="57" t="str">
        <f>IF($F$2&gt;=M57,IF($F$2=$M57,$G$2+Resultados!$B$5,'Ope. TES Vigentes'!$G$2)/((1+Resultados!$B$6)^('Ope. TES Vigentes'!K58/365)),"")</f>
        <v/>
      </c>
    </row>
    <row r="58" spans="9:14" x14ac:dyDescent="0.3">
      <c r="I58" s="15">
        <v>56</v>
      </c>
      <c r="J58" s="16" t="str">
        <f>IF(I58&lt;=$F$2,COUPNCD(J57,Resultados!$D$3,1,3),"")</f>
        <v/>
      </c>
      <c r="K58" s="23" t="str">
        <f t="shared" si="0"/>
        <v/>
      </c>
      <c r="M58" s="15">
        <v>57</v>
      </c>
      <c r="N58" s="57" t="str">
        <f>IF($F$2&gt;=M58,IF($F$2=$M58,$G$2+Resultados!$B$5,'Ope. TES Vigentes'!$G$2)/((1+Resultados!$B$6)^('Ope. TES Vigentes'!K59/365)),"")</f>
        <v/>
      </c>
    </row>
    <row r="59" spans="9:14" x14ac:dyDescent="0.3">
      <c r="I59" s="15">
        <v>57</v>
      </c>
      <c r="J59" s="16" t="str">
        <f>IF(I59&lt;=$F$2,COUPNCD(J58,Resultados!$D$3,1,3),"")</f>
        <v/>
      </c>
      <c r="K59" s="23" t="str">
        <f t="shared" si="0"/>
        <v/>
      </c>
      <c r="M59" s="15">
        <v>58</v>
      </c>
      <c r="N59" s="57" t="str">
        <f>IF($F$2&gt;=M59,IF($F$2=$M59,$G$2+Resultados!$B$5,'Ope. TES Vigentes'!$G$2)/((1+Resultados!$B$6)^('Ope. TES Vigentes'!K60/365)),"")</f>
        <v/>
      </c>
    </row>
    <row r="60" spans="9:14" x14ac:dyDescent="0.3">
      <c r="I60" s="15">
        <v>58</v>
      </c>
      <c r="J60" s="16" t="str">
        <f>IF(I60&lt;=$F$2,COUPNCD(J59,Resultados!$D$3,1,3),"")</f>
        <v/>
      </c>
      <c r="K60" s="23" t="str">
        <f t="shared" si="0"/>
        <v/>
      </c>
      <c r="M60" s="15">
        <v>59</v>
      </c>
      <c r="N60" s="57" t="str">
        <f>IF($F$2&gt;=M60,IF($F$2=$M60,$G$2+Resultados!$B$5,'Ope. TES Vigentes'!$G$2)/((1+Resultados!$B$6)^('Ope. TES Vigentes'!K61/365)),"")</f>
        <v/>
      </c>
    </row>
    <row r="61" spans="9:14" x14ac:dyDescent="0.3">
      <c r="I61" s="15">
        <v>59</v>
      </c>
      <c r="J61" s="16" t="str">
        <f>IF(I61&lt;=$F$2,COUPNCD(J60,Resultados!$D$3,1,3),"")</f>
        <v/>
      </c>
      <c r="K61" s="23" t="str">
        <f t="shared" si="0"/>
        <v/>
      </c>
      <c r="M61" s="15">
        <v>60</v>
      </c>
      <c r="N61" s="57" t="str">
        <f>IF($F$2&gt;=M61,IF($F$2=$M61,$G$2+Resultados!$B$5,'Ope. TES Vigentes'!$G$2)/((1+Resultados!$B$6)^('Ope. TES Vigentes'!K62/365)),"")</f>
        <v/>
      </c>
    </row>
    <row r="62" spans="9:14" x14ac:dyDescent="0.3">
      <c r="I62" s="1">
        <v>60</v>
      </c>
      <c r="J62" s="16" t="str">
        <f>IF(I62&lt;=$F$2,COUPNCD(J61,Resultados!$D$3,1,3),"")</f>
        <v/>
      </c>
      <c r="K62" s="23" t="str">
        <f t="shared" si="0"/>
        <v/>
      </c>
      <c r="M62" s="15">
        <v>61</v>
      </c>
      <c r="N62" s="57" t="str">
        <f>IF($F$2&gt;=M62,IF($F$2=$M62,$G$2+Resultados!$B$5,'Ope. TES Vigentes'!$G$2)/((1+Resultados!$B$6)^('Ope. TES Vigentes'!K63/365)),"")</f>
        <v/>
      </c>
    </row>
    <row r="63" spans="9:14" x14ac:dyDescent="0.3">
      <c r="I63" s="15">
        <v>61</v>
      </c>
      <c r="J63" s="16" t="str">
        <f>IF(I63&lt;=$F$2,COUPNCD(J62,Resultados!$D$3,1,3),"")</f>
        <v/>
      </c>
      <c r="K63" s="23" t="str">
        <f t="shared" si="0"/>
        <v/>
      </c>
      <c r="M63" s="15">
        <v>62</v>
      </c>
      <c r="N63" s="57" t="str">
        <f>IF($F$2&gt;=M63,IF($F$2=$M63,$G$2+Resultados!$B$5,'Ope. TES Vigentes'!$G$2)/((1+Resultados!$B$6)^('Ope. TES Vigentes'!K64/365)),"")</f>
        <v/>
      </c>
    </row>
    <row r="64" spans="9:14" x14ac:dyDescent="0.3">
      <c r="I64" s="15">
        <v>62</v>
      </c>
      <c r="J64" s="16" t="str">
        <f>IF(I64&lt;=$F$2,COUPNCD(J63,Resultados!$D$3,1,3),"")</f>
        <v/>
      </c>
      <c r="K64" s="23" t="str">
        <f t="shared" si="0"/>
        <v/>
      </c>
      <c r="M64" s="15">
        <v>63</v>
      </c>
      <c r="N64" s="57" t="str">
        <f>IF($F$2&gt;=M64,IF($F$2=$M64,$G$2+Resultados!$B$5,'Ope. TES Vigentes'!$G$2)/((1+Resultados!$B$6)^('Ope. TES Vigentes'!K65/365)),"")</f>
        <v/>
      </c>
    </row>
    <row r="65" spans="9:14" x14ac:dyDescent="0.3">
      <c r="I65" s="15">
        <v>63</v>
      </c>
      <c r="J65" s="16" t="str">
        <f>IF(I65&lt;=$F$2,COUPNCD(J64,Resultados!$D$3,1,3),"")</f>
        <v/>
      </c>
      <c r="K65" s="23" t="str">
        <f t="shared" si="0"/>
        <v/>
      </c>
      <c r="M65" s="15">
        <v>64</v>
      </c>
      <c r="N65" s="57" t="str">
        <f>IF($F$2&gt;=M65,IF($F$2=$M65,$G$2+Resultados!$B$5,'Ope. TES Vigentes'!$G$2)/((1+Resultados!$B$6)^('Ope. TES Vigentes'!K66/365)),"")</f>
        <v/>
      </c>
    </row>
    <row r="66" spans="9:14" x14ac:dyDescent="0.3">
      <c r="I66" s="15">
        <v>64</v>
      </c>
      <c r="J66" s="16" t="str">
        <f>IF(I66&lt;=$F$2,COUPNCD(J65,Resultados!$D$3,1,3),"")</f>
        <v/>
      </c>
      <c r="K66" s="23" t="str">
        <f t="shared" si="0"/>
        <v/>
      </c>
      <c r="M66" s="15">
        <v>65</v>
      </c>
      <c r="N66" s="57" t="str">
        <f>IF($F$2&gt;=M66,IF($F$2=$M66,$G$2+Resultados!$B$5,'Ope. TES Vigentes'!$G$2)/((1+Resultados!$B$6)^('Ope. TES Vigentes'!K67/365)),"")</f>
        <v/>
      </c>
    </row>
    <row r="67" spans="9:14" x14ac:dyDescent="0.3">
      <c r="I67" s="15">
        <v>65</v>
      </c>
      <c r="J67" s="16" t="str">
        <f>IF(I67&lt;=$F$2,COUPNCD(J66,Resultados!$D$3,1,3),"")</f>
        <v/>
      </c>
      <c r="K67" s="23" t="str">
        <f t="shared" si="0"/>
        <v/>
      </c>
      <c r="M67" s="15">
        <v>66</v>
      </c>
      <c r="N67" s="57" t="str">
        <f>IF($F$2&gt;=M67,IF($F$2=$M67,$G$2+Resultados!$B$5,'Ope. TES Vigentes'!$G$2)/((1+Resultados!$B$6)^('Ope. TES Vigentes'!K68/365)),"")</f>
        <v/>
      </c>
    </row>
    <row r="68" spans="9:14" x14ac:dyDescent="0.3">
      <c r="I68" s="1">
        <v>66</v>
      </c>
      <c r="J68" s="16" t="str">
        <f>IF(I68&lt;=$F$2,COUPNCD(J67,Resultados!$D$3,1,3),"")</f>
        <v/>
      </c>
      <c r="K68" s="23" t="str">
        <f t="shared" si="0"/>
        <v/>
      </c>
      <c r="M68" s="15">
        <v>67</v>
      </c>
      <c r="N68" s="57" t="str">
        <f>IF($F$2&gt;=M68,IF($F$2=$M68,$G$2+Resultados!$B$5,'Ope. TES Vigentes'!$G$2)/((1+Resultados!$B$6)^('Ope. TES Vigentes'!K69/365)),"")</f>
        <v/>
      </c>
    </row>
    <row r="69" spans="9:14" x14ac:dyDescent="0.3">
      <c r="I69" s="15">
        <v>67</v>
      </c>
      <c r="J69" s="16" t="str">
        <f>IF(I69&lt;=$F$2,COUPNCD(J68,Resultados!$D$3,1,3),"")</f>
        <v/>
      </c>
      <c r="K69" s="23" t="str">
        <f t="shared" ref="K69:K102" si="1">IF(I69&lt;=$F$2,K68+365,"")</f>
        <v/>
      </c>
      <c r="M69" s="15">
        <v>68</v>
      </c>
      <c r="N69" s="57" t="str">
        <f>IF($F$2&gt;=M69,IF($F$2=$M69,$G$2+Resultados!$B$5,'Ope. TES Vigentes'!$G$2)/((1+Resultados!$B$6)^('Ope. TES Vigentes'!K70/365)),"")</f>
        <v/>
      </c>
    </row>
    <row r="70" spans="9:14" x14ac:dyDescent="0.3">
      <c r="I70" s="15">
        <v>68</v>
      </c>
      <c r="J70" s="16" t="str">
        <f>IF(I70&lt;=$F$2,COUPNCD(J69,Resultados!$D$3,1,3),"")</f>
        <v/>
      </c>
      <c r="K70" s="23" t="str">
        <f t="shared" si="1"/>
        <v/>
      </c>
      <c r="M70" s="15">
        <v>69</v>
      </c>
      <c r="N70" s="57" t="str">
        <f>IF($F$2&gt;=M70,IF($F$2=$M70,$G$2+Resultados!$B$5,'Ope. TES Vigentes'!$G$2)/((1+Resultados!$B$6)^('Ope. TES Vigentes'!K71/365)),"")</f>
        <v/>
      </c>
    </row>
    <row r="71" spans="9:14" x14ac:dyDescent="0.3">
      <c r="I71" s="15">
        <v>69</v>
      </c>
      <c r="J71" s="16" t="str">
        <f>IF(I71&lt;=$F$2,COUPNCD(J70,Resultados!$D$3,1,3),"")</f>
        <v/>
      </c>
      <c r="K71" s="23" t="str">
        <f t="shared" si="1"/>
        <v/>
      </c>
      <c r="M71" s="15">
        <v>70</v>
      </c>
      <c r="N71" s="57" t="str">
        <f>IF($F$2&gt;=M71,IF($F$2=$M71,$G$2+Resultados!$B$5,'Ope. TES Vigentes'!$G$2)/((1+Resultados!$B$6)^('Ope. TES Vigentes'!K72/365)),"")</f>
        <v/>
      </c>
    </row>
    <row r="72" spans="9:14" x14ac:dyDescent="0.3">
      <c r="I72" s="15">
        <v>70</v>
      </c>
      <c r="J72" s="16" t="str">
        <f>IF(I72&lt;=$F$2,COUPNCD(J71,Resultados!$D$3,1,3),"")</f>
        <v/>
      </c>
      <c r="K72" s="23" t="str">
        <f t="shared" si="1"/>
        <v/>
      </c>
      <c r="M72" s="15">
        <v>71</v>
      </c>
      <c r="N72" s="57" t="str">
        <f>IF($F$2&gt;=M72,IF($F$2=$M72,$G$2+Resultados!$B$5,'Ope. TES Vigentes'!$G$2)/((1+Resultados!$B$6)^('Ope. TES Vigentes'!K73/365)),"")</f>
        <v/>
      </c>
    </row>
    <row r="73" spans="9:14" x14ac:dyDescent="0.3">
      <c r="I73" s="15">
        <v>71</v>
      </c>
      <c r="J73" s="16" t="str">
        <f>IF(I73&lt;=$F$2,COUPNCD(J72,Resultados!$D$3,1,3),"")</f>
        <v/>
      </c>
      <c r="K73" s="23" t="str">
        <f t="shared" si="1"/>
        <v/>
      </c>
      <c r="M73" s="15">
        <v>72</v>
      </c>
      <c r="N73" s="57" t="str">
        <f>IF($F$2&gt;=M73,IF($F$2=$M73,$G$2+Resultados!$B$5,'Ope. TES Vigentes'!$G$2)/((1+Resultados!$B$6)^('Ope. TES Vigentes'!K74/365)),"")</f>
        <v/>
      </c>
    </row>
    <row r="74" spans="9:14" x14ac:dyDescent="0.3">
      <c r="I74" s="1">
        <v>72</v>
      </c>
      <c r="J74" s="16" t="str">
        <f>IF(I74&lt;=$F$2,COUPNCD(J73,Resultados!$D$3,1,3),"")</f>
        <v/>
      </c>
      <c r="K74" s="23" t="str">
        <f t="shared" si="1"/>
        <v/>
      </c>
      <c r="M74" s="15">
        <v>73</v>
      </c>
      <c r="N74" s="57" t="str">
        <f>IF($F$2&gt;=M74,IF($F$2=$M74,$G$2+Resultados!$B$5,'Ope. TES Vigentes'!$G$2)/((1+Resultados!$B$6)^('Ope. TES Vigentes'!K75/365)),"")</f>
        <v/>
      </c>
    </row>
    <row r="75" spans="9:14" x14ac:dyDescent="0.3">
      <c r="I75" s="15">
        <v>73</v>
      </c>
      <c r="J75" s="16" t="str">
        <f>IF(I75&lt;=$F$2,COUPNCD(J74,Resultados!$D$3,1,3),"")</f>
        <v/>
      </c>
      <c r="K75" s="23" t="str">
        <f t="shared" si="1"/>
        <v/>
      </c>
      <c r="M75" s="15">
        <v>74</v>
      </c>
      <c r="N75" s="57" t="str">
        <f>IF($F$2&gt;=M75,IF($F$2=$M75,$G$2+Resultados!$B$5,'Ope. TES Vigentes'!$G$2)/((1+Resultados!$B$6)^('Ope. TES Vigentes'!K76/365)),"")</f>
        <v/>
      </c>
    </row>
    <row r="76" spans="9:14" x14ac:dyDescent="0.3">
      <c r="I76" s="15">
        <v>74</v>
      </c>
      <c r="J76" s="16" t="str">
        <f>IF(I76&lt;=$F$2,COUPNCD(J75,Resultados!$D$3,1,3),"")</f>
        <v/>
      </c>
      <c r="K76" s="23" t="str">
        <f t="shared" si="1"/>
        <v/>
      </c>
      <c r="M76" s="15">
        <v>75</v>
      </c>
      <c r="N76" s="57" t="str">
        <f>IF($F$2&gt;=M76,IF($F$2=$M76,$G$2+Resultados!$B$5,'Ope. TES Vigentes'!$G$2)/((1+Resultados!$B$6)^('Ope. TES Vigentes'!K77/365)),"")</f>
        <v/>
      </c>
    </row>
    <row r="77" spans="9:14" x14ac:dyDescent="0.3">
      <c r="I77" s="15">
        <v>75</v>
      </c>
      <c r="J77" s="16" t="str">
        <f>IF(I77&lt;=$F$2,COUPNCD(J76,Resultados!$D$3,1,3),"")</f>
        <v/>
      </c>
      <c r="K77" s="23" t="str">
        <f t="shared" si="1"/>
        <v/>
      </c>
      <c r="M77" s="15">
        <v>76</v>
      </c>
      <c r="N77" s="57" t="str">
        <f>IF($F$2&gt;=M77,IF($F$2=$M77,$G$2+Resultados!$B$5,'Ope. TES Vigentes'!$G$2)/((1+Resultados!$B$6)^('Ope. TES Vigentes'!K78/365)),"")</f>
        <v/>
      </c>
    </row>
    <row r="78" spans="9:14" x14ac:dyDescent="0.3">
      <c r="I78" s="15">
        <v>76</v>
      </c>
      <c r="J78" s="16" t="str">
        <f>IF(I78&lt;=$F$2,COUPNCD(J77,Resultados!$D$3,1,3),"")</f>
        <v/>
      </c>
      <c r="K78" s="23" t="str">
        <f t="shared" si="1"/>
        <v/>
      </c>
      <c r="M78" s="15">
        <v>77</v>
      </c>
      <c r="N78" s="57" t="str">
        <f>IF($F$2&gt;=M78,IF($F$2=$M78,$G$2+Resultados!$B$5,'Ope. TES Vigentes'!$G$2)/((1+Resultados!$B$6)^('Ope. TES Vigentes'!K79/365)),"")</f>
        <v/>
      </c>
    </row>
    <row r="79" spans="9:14" x14ac:dyDescent="0.3">
      <c r="I79" s="15">
        <v>77</v>
      </c>
      <c r="J79" s="16" t="str">
        <f>IF(I79&lt;=$F$2,COUPNCD(J78,Resultados!$D$3,1,3),"")</f>
        <v/>
      </c>
      <c r="K79" s="23" t="str">
        <f t="shared" si="1"/>
        <v/>
      </c>
      <c r="M79" s="15">
        <v>78</v>
      </c>
      <c r="N79" s="57" t="str">
        <f>IF($F$2&gt;=M79,IF($F$2=$M79,$G$2+Resultados!$B$5,'Ope. TES Vigentes'!$G$2)/((1+Resultados!$B$6)^('Ope. TES Vigentes'!K80/365)),"")</f>
        <v/>
      </c>
    </row>
    <row r="80" spans="9:14" x14ac:dyDescent="0.3">
      <c r="I80" s="1">
        <v>78</v>
      </c>
      <c r="J80" s="16" t="str">
        <f>IF(I80&lt;=$F$2,COUPNCD(J79,Resultados!$D$3,1,3),"")</f>
        <v/>
      </c>
      <c r="K80" s="23" t="str">
        <f t="shared" si="1"/>
        <v/>
      </c>
      <c r="M80" s="15">
        <v>79</v>
      </c>
      <c r="N80" s="57" t="str">
        <f>IF($F$2&gt;=M80,IF($F$2=$M80,$G$2+Resultados!$B$5,'Ope. TES Vigentes'!$G$2)/((1+Resultados!$B$6)^('Ope. TES Vigentes'!K81/365)),"")</f>
        <v/>
      </c>
    </row>
    <row r="81" spans="9:14" x14ac:dyDescent="0.3">
      <c r="I81" s="15">
        <v>79</v>
      </c>
      <c r="J81" s="16" t="str">
        <f>IF(I81&lt;=$F$2,COUPNCD(J80,Resultados!$D$3,1,3),"")</f>
        <v/>
      </c>
      <c r="K81" s="23" t="str">
        <f t="shared" si="1"/>
        <v/>
      </c>
      <c r="M81" s="15">
        <v>80</v>
      </c>
      <c r="N81" s="57" t="str">
        <f>IF($F$2&gt;=M81,IF($F$2=$M81,$G$2+Resultados!$B$5,'Ope. TES Vigentes'!$G$2)/((1+Resultados!$B$6)^('Ope. TES Vigentes'!K82/365)),"")</f>
        <v/>
      </c>
    </row>
    <row r="82" spans="9:14" x14ac:dyDescent="0.3">
      <c r="I82" s="15">
        <v>80</v>
      </c>
      <c r="J82" s="16" t="str">
        <f>IF(I82&lt;=$F$2,COUPNCD(J81,Resultados!$D$3,1,3),"")</f>
        <v/>
      </c>
      <c r="K82" s="23" t="str">
        <f t="shared" si="1"/>
        <v/>
      </c>
      <c r="M82" s="15">
        <v>81</v>
      </c>
      <c r="N82" s="57" t="str">
        <f>IF($F$2&gt;=M82,IF($F$2=$M82,$G$2+Resultados!$B$5,'Ope. TES Vigentes'!$G$2)/((1+Resultados!$B$6)^('Ope. TES Vigentes'!K83/365)),"")</f>
        <v/>
      </c>
    </row>
    <row r="83" spans="9:14" x14ac:dyDescent="0.3">
      <c r="I83" s="15">
        <v>81</v>
      </c>
      <c r="J83" s="16" t="str">
        <f>IF(I83&lt;=$F$2,COUPNCD(J82,Resultados!$D$3,1,3),"")</f>
        <v/>
      </c>
      <c r="K83" s="23" t="str">
        <f t="shared" si="1"/>
        <v/>
      </c>
      <c r="M83" s="15">
        <v>82</v>
      </c>
      <c r="N83" s="57" t="str">
        <f>IF($F$2&gt;=M83,IF($F$2=$M83,$G$2+Resultados!$B$5,'Ope. TES Vigentes'!$G$2)/((1+Resultados!$B$6)^('Ope. TES Vigentes'!K84/365)),"")</f>
        <v/>
      </c>
    </row>
    <row r="84" spans="9:14" x14ac:dyDescent="0.3">
      <c r="I84" s="15">
        <v>82</v>
      </c>
      <c r="J84" s="16" t="str">
        <f>IF(I84&lt;=$F$2,COUPNCD(J83,Resultados!$D$3,1,3),"")</f>
        <v/>
      </c>
      <c r="K84" s="23" t="str">
        <f t="shared" si="1"/>
        <v/>
      </c>
      <c r="M84" s="15">
        <v>83</v>
      </c>
      <c r="N84" s="57" t="str">
        <f>IF($F$2&gt;=M84,IF($F$2=$M84,$G$2+Resultados!$B$5,'Ope. TES Vigentes'!$G$2)/((1+Resultados!$B$6)^('Ope. TES Vigentes'!K85/365)),"")</f>
        <v/>
      </c>
    </row>
    <row r="85" spans="9:14" x14ac:dyDescent="0.3">
      <c r="I85" s="15">
        <v>83</v>
      </c>
      <c r="J85" s="16" t="str">
        <f>IF(I85&lt;=$F$2,COUPNCD(J84,Resultados!$D$3,1,3),"")</f>
        <v/>
      </c>
      <c r="K85" s="23" t="str">
        <f t="shared" si="1"/>
        <v/>
      </c>
      <c r="M85" s="15">
        <v>84</v>
      </c>
      <c r="N85" s="57" t="str">
        <f>IF($F$2&gt;=M85,IF($F$2=$M85,$G$2+Resultados!$B$5,'Ope. TES Vigentes'!$G$2)/((1+Resultados!$B$6)^('Ope. TES Vigentes'!K86/365)),"")</f>
        <v/>
      </c>
    </row>
    <row r="86" spans="9:14" x14ac:dyDescent="0.3">
      <c r="I86" s="1">
        <v>84</v>
      </c>
      <c r="J86" s="16" t="str">
        <f>IF(I86&lt;=$F$2,COUPNCD(J85,Resultados!$D$3,1,3),"")</f>
        <v/>
      </c>
      <c r="K86" s="23" t="str">
        <f t="shared" si="1"/>
        <v/>
      </c>
      <c r="M86" s="15">
        <v>85</v>
      </c>
      <c r="N86" s="57" t="str">
        <f>IF($F$2&gt;=M86,IF($F$2=$M86,$G$2+Resultados!$B$5,'Ope. TES Vigentes'!$G$2)/((1+Resultados!$B$6)^('Ope. TES Vigentes'!K87/365)),"")</f>
        <v/>
      </c>
    </row>
    <row r="87" spans="9:14" x14ac:dyDescent="0.3">
      <c r="I87" s="15">
        <v>85</v>
      </c>
      <c r="J87" s="16" t="str">
        <f>IF(I87&lt;=$F$2,COUPNCD(J86,Resultados!$D$3,1,3),"")</f>
        <v/>
      </c>
      <c r="K87" s="23" t="str">
        <f t="shared" si="1"/>
        <v/>
      </c>
      <c r="M87" s="15">
        <v>86</v>
      </c>
      <c r="N87" s="57" t="str">
        <f>IF($F$2&gt;=M87,IF($F$2=$M87,$G$2+Resultados!$B$5,'Ope. TES Vigentes'!$G$2)/((1+Resultados!$B$6)^('Ope. TES Vigentes'!K88/365)),"")</f>
        <v/>
      </c>
    </row>
    <row r="88" spans="9:14" x14ac:dyDescent="0.3">
      <c r="I88" s="15">
        <v>86</v>
      </c>
      <c r="J88" s="16" t="str">
        <f>IF(I88&lt;=$F$2,COUPNCD(J87,Resultados!$D$3,1,3),"")</f>
        <v/>
      </c>
      <c r="K88" s="23" t="str">
        <f t="shared" si="1"/>
        <v/>
      </c>
      <c r="M88" s="15">
        <v>87</v>
      </c>
      <c r="N88" s="57" t="str">
        <f>IF($F$2&gt;=M88,IF($F$2=$M88,$G$2+Resultados!$B$5,'Ope. TES Vigentes'!$G$2)/((1+Resultados!$B$6)^('Ope. TES Vigentes'!K89/365)),"")</f>
        <v/>
      </c>
    </row>
    <row r="89" spans="9:14" x14ac:dyDescent="0.3">
      <c r="I89" s="15">
        <v>87</v>
      </c>
      <c r="J89" s="16" t="str">
        <f>IF(I89&lt;=$F$2,COUPNCD(J88,Resultados!$D$3,1,3),"")</f>
        <v/>
      </c>
      <c r="K89" s="23" t="str">
        <f t="shared" si="1"/>
        <v/>
      </c>
      <c r="M89" s="15">
        <v>88</v>
      </c>
      <c r="N89" s="57" t="str">
        <f>IF($F$2&gt;=M89,IF($F$2=$M89,$G$2+Resultados!$B$5,'Ope. TES Vigentes'!$G$2)/((1+Resultados!$B$6)^('Ope. TES Vigentes'!K90/365)),"")</f>
        <v/>
      </c>
    </row>
    <row r="90" spans="9:14" x14ac:dyDescent="0.3">
      <c r="I90" s="15">
        <v>88</v>
      </c>
      <c r="J90" s="16" t="str">
        <f>IF(I90&lt;=$F$2,COUPNCD(J89,Resultados!$D$3,1,3),"")</f>
        <v/>
      </c>
      <c r="K90" s="23" t="str">
        <f t="shared" si="1"/>
        <v/>
      </c>
      <c r="M90" s="15">
        <v>89</v>
      </c>
      <c r="N90" s="57" t="str">
        <f>IF($F$2&gt;=M90,IF($F$2=$M90,$G$2+Resultados!$B$5,'Ope. TES Vigentes'!$G$2)/((1+Resultados!$B$6)^('Ope. TES Vigentes'!K91/365)),"")</f>
        <v/>
      </c>
    </row>
    <row r="91" spans="9:14" x14ac:dyDescent="0.3">
      <c r="I91" s="15">
        <v>89</v>
      </c>
      <c r="J91" s="16" t="str">
        <f>IF(I91&lt;=$F$2,COUPNCD(J90,Resultados!$D$3,1,3),"")</f>
        <v/>
      </c>
      <c r="K91" s="23" t="str">
        <f t="shared" si="1"/>
        <v/>
      </c>
      <c r="M91" s="15">
        <v>90</v>
      </c>
      <c r="N91" s="57" t="str">
        <f>IF($F$2&gt;=M91,IF($F$2=$M91,$G$2+Resultados!$B$5,'Ope. TES Vigentes'!$G$2)/((1+Resultados!$B$6)^('Ope. TES Vigentes'!K92/365)),"")</f>
        <v/>
      </c>
    </row>
    <row r="92" spans="9:14" x14ac:dyDescent="0.3">
      <c r="I92" s="1">
        <v>90</v>
      </c>
      <c r="J92" s="16" t="str">
        <f>IF(I92&lt;=$F$2,COUPNCD(J91,Resultados!$D$3,1,3),"")</f>
        <v/>
      </c>
      <c r="K92" s="23" t="str">
        <f t="shared" si="1"/>
        <v/>
      </c>
      <c r="M92" s="15">
        <v>91</v>
      </c>
      <c r="N92" s="57" t="str">
        <f>IF($F$2&gt;=M92,IF($F$2=$M92,$G$2+Resultados!$B$5,'Ope. TES Vigentes'!$G$2)/((1+Resultados!$B$6)^('Ope. TES Vigentes'!K93/365)),"")</f>
        <v/>
      </c>
    </row>
    <row r="93" spans="9:14" x14ac:dyDescent="0.3">
      <c r="I93" s="15">
        <v>91</v>
      </c>
      <c r="J93" s="16" t="str">
        <f>IF(I93&lt;=$F$2,COUPNCD(J92,Resultados!$D$3,1,3),"")</f>
        <v/>
      </c>
      <c r="K93" s="23" t="str">
        <f t="shared" si="1"/>
        <v/>
      </c>
      <c r="M93" s="15">
        <v>92</v>
      </c>
      <c r="N93" s="57" t="str">
        <f>IF($F$2&gt;=M93,IF($F$2=$M93,$G$2+Resultados!$B$5,'Ope. TES Vigentes'!$G$2)/((1+Resultados!$B$6)^('Ope. TES Vigentes'!K94/365)),"")</f>
        <v/>
      </c>
    </row>
    <row r="94" spans="9:14" x14ac:dyDescent="0.3">
      <c r="I94" s="15">
        <v>92</v>
      </c>
      <c r="J94" s="16" t="str">
        <f>IF(I94&lt;=$F$2,COUPNCD(J93,Resultados!$D$3,1,3),"")</f>
        <v/>
      </c>
      <c r="K94" s="23" t="str">
        <f t="shared" si="1"/>
        <v/>
      </c>
      <c r="M94" s="15">
        <v>93</v>
      </c>
      <c r="N94" s="57" t="str">
        <f>IF($F$2&gt;=M94,IF($F$2=$M94,$G$2+Resultados!$B$5,'Ope. TES Vigentes'!$G$2)/((1+Resultados!$B$6)^('Ope. TES Vigentes'!K95/365)),"")</f>
        <v/>
      </c>
    </row>
    <row r="95" spans="9:14" x14ac:dyDescent="0.3">
      <c r="I95" s="15">
        <v>93</v>
      </c>
      <c r="J95" s="16" t="str">
        <f>IF(I95&lt;=$F$2,COUPNCD(J94,Resultados!$D$3,1,3),"")</f>
        <v/>
      </c>
      <c r="K95" s="23" t="str">
        <f t="shared" si="1"/>
        <v/>
      </c>
      <c r="M95" s="15">
        <v>94</v>
      </c>
      <c r="N95" s="57" t="str">
        <f>IF($F$2&gt;=M95,IF($F$2=$M95,$G$2+Resultados!$B$5,'Ope. TES Vigentes'!$G$2)/((1+Resultados!$B$6)^('Ope. TES Vigentes'!K96/365)),"")</f>
        <v/>
      </c>
    </row>
    <row r="96" spans="9:14" x14ac:dyDescent="0.3">
      <c r="I96" s="15">
        <v>94</v>
      </c>
      <c r="J96" s="16" t="str">
        <f>IF(I96&lt;=$F$2,COUPNCD(J95,Resultados!$D$3,1,3),"")</f>
        <v/>
      </c>
      <c r="K96" s="23" t="str">
        <f t="shared" si="1"/>
        <v/>
      </c>
      <c r="M96" s="15">
        <v>95</v>
      </c>
      <c r="N96" s="57" t="str">
        <f>IF($F$2&gt;=M96,IF($F$2=$M96,$G$2+Resultados!$B$5,'Ope. TES Vigentes'!$G$2)/((1+Resultados!$B$6)^('Ope. TES Vigentes'!K97/365)),"")</f>
        <v/>
      </c>
    </row>
    <row r="97" spans="9:14" x14ac:dyDescent="0.3">
      <c r="I97" s="15">
        <v>95</v>
      </c>
      <c r="J97" s="16" t="str">
        <f>IF(I97&lt;=$F$2,COUPNCD(J96,Resultados!$D$3,1,3),"")</f>
        <v/>
      </c>
      <c r="K97" s="23" t="str">
        <f t="shared" si="1"/>
        <v/>
      </c>
      <c r="M97" s="15">
        <v>96</v>
      </c>
      <c r="N97" s="57" t="str">
        <f>IF($F$2&gt;=M97,IF($F$2=$M97,$G$2+Resultados!$B$5,'Ope. TES Vigentes'!$G$2)/((1+Resultados!$B$6)^('Ope. TES Vigentes'!K98/365)),"")</f>
        <v/>
      </c>
    </row>
    <row r="98" spans="9:14" x14ac:dyDescent="0.3">
      <c r="I98" s="1">
        <v>96</v>
      </c>
      <c r="J98" s="16" t="str">
        <f>IF(I98&lt;=$F$2,COUPNCD(J97,Resultados!$D$3,1,3),"")</f>
        <v/>
      </c>
      <c r="K98" s="23" t="str">
        <f t="shared" si="1"/>
        <v/>
      </c>
      <c r="M98" s="15">
        <v>97</v>
      </c>
      <c r="N98" s="57" t="str">
        <f>IF($F$2&gt;=M98,IF($F$2=$M98,$G$2+Resultados!$B$5,'Ope. TES Vigentes'!$G$2)/((1+Resultados!$B$6)^('Ope. TES Vigentes'!K99/365)),"")</f>
        <v/>
      </c>
    </row>
    <row r="99" spans="9:14" x14ac:dyDescent="0.3">
      <c r="I99" s="15">
        <v>97</v>
      </c>
      <c r="J99" s="16" t="str">
        <f>IF(I99&lt;=$F$2,COUPNCD(J98,Resultados!$D$3,1,3),"")</f>
        <v/>
      </c>
      <c r="K99" s="23" t="str">
        <f t="shared" si="1"/>
        <v/>
      </c>
      <c r="M99" s="15">
        <v>98</v>
      </c>
      <c r="N99" s="57" t="str">
        <f>IF($F$2&gt;=M99,IF($F$2=$M99,$G$2+Resultados!$B$5,'Ope. TES Vigentes'!$G$2)/((1+Resultados!$B$6)^('Ope. TES Vigentes'!K100/365)),"")</f>
        <v/>
      </c>
    </row>
    <row r="100" spans="9:14" x14ac:dyDescent="0.3">
      <c r="I100" s="15">
        <v>98</v>
      </c>
      <c r="J100" s="16" t="str">
        <f>IF(I100&lt;=$F$2,COUPNCD(J99,Resultados!$D$3,1,3),"")</f>
        <v/>
      </c>
      <c r="K100" s="23" t="str">
        <f t="shared" si="1"/>
        <v/>
      </c>
      <c r="M100" s="15">
        <v>99</v>
      </c>
      <c r="N100" s="57" t="str">
        <f>IF($F$2&gt;=M100,IF($F$2=$M100,$G$2+Resultados!$B$5,'Ope. TES Vigentes'!$G$2)/((1+Resultados!$B$6)^('Ope. TES Vigentes'!K101/365)),"")</f>
        <v/>
      </c>
    </row>
    <row r="101" spans="9:14" ht="15" thickBot="1" x14ac:dyDescent="0.35">
      <c r="I101" s="15">
        <v>99</v>
      </c>
      <c r="J101" s="16" t="str">
        <f>IF(I101&lt;=$F$2,COUPNCD(J100,Resultados!$D$3,1,3),"")</f>
        <v/>
      </c>
      <c r="K101" s="23" t="str">
        <f t="shared" si="1"/>
        <v/>
      </c>
      <c r="M101" s="17">
        <v>100</v>
      </c>
      <c r="N101" s="62" t="str">
        <f>IF($F$2&gt;=M101,IF($F$2=$M101,$G$2+Resultados!$B$5,'Ope. TES Vigentes'!$G$2)/((1+Resultados!$B$6)^('Ope. TES Vigentes'!K102/365)),"")</f>
        <v/>
      </c>
    </row>
    <row r="102" spans="9:14" ht="15" thickBot="1" x14ac:dyDescent="0.35">
      <c r="I102" s="17">
        <v>100</v>
      </c>
      <c r="J102" s="16" t="str">
        <f>IF(I102&lt;=$F$2,COUPNCD(J101,Resultados!$D$3,1,3),"")</f>
        <v/>
      </c>
      <c r="K102" s="24" t="str">
        <f t="shared" si="1"/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9AEC95-4980-4B59-98F1-36140B50B04A}">
  <sheetPr codeName="Sheet2"/>
  <dimension ref="A1:O102"/>
  <sheetViews>
    <sheetView showGridLines="0" tabSelected="1" zoomScaleNormal="100" workbookViewId="0">
      <selection activeCell="K24" sqref="K24"/>
    </sheetView>
  </sheetViews>
  <sheetFormatPr defaultRowHeight="14.4" x14ac:dyDescent="0.3"/>
  <cols>
    <col min="1" max="1" width="7.88671875" style="1" bestFit="1" customWidth="1"/>
    <col min="2" max="2" width="14.5546875" style="1" bestFit="1" customWidth="1"/>
    <col min="3" max="3" width="9.5546875" style="27" bestFit="1" customWidth="1"/>
    <col min="4" max="4" width="8.33203125" style="1" customWidth="1"/>
    <col min="5" max="5" width="8.33203125" style="1" bestFit="1" customWidth="1"/>
    <col min="6" max="6" width="17.21875" style="1" bestFit="1" customWidth="1"/>
    <col min="7" max="7" width="8.88671875" style="1"/>
    <col min="8" max="8" width="7.6640625" style="1" bestFit="1" customWidth="1"/>
    <col min="9" max="9" width="20.6640625" style="1" bestFit="1" customWidth="1"/>
    <col min="10" max="10" width="8.88671875" style="1"/>
    <col min="11" max="11" width="21.77734375" style="1" bestFit="1" customWidth="1"/>
    <col min="12" max="12" width="8.88671875" style="1"/>
    <col min="13" max="13" width="19.77734375" style="1" bestFit="1" customWidth="1"/>
    <col min="14" max="14" width="8.88671875" style="1"/>
    <col min="15" max="15" width="14.5546875" style="1" bestFit="1" customWidth="1"/>
    <col min="16" max="16384" width="8.88671875" style="1"/>
  </cols>
  <sheetData>
    <row r="1" spans="1:15" ht="15" thickBot="1" x14ac:dyDescent="0.35">
      <c r="A1" s="9" t="s">
        <v>13</v>
      </c>
      <c r="B1" s="9" t="s">
        <v>12</v>
      </c>
      <c r="C1" s="26" t="s">
        <v>16</v>
      </c>
      <c r="E1" s="9" t="s">
        <v>10</v>
      </c>
      <c r="F1" s="9" t="s">
        <v>9</v>
      </c>
      <c r="H1" s="9" t="s">
        <v>13</v>
      </c>
      <c r="I1" s="9" t="s">
        <v>14</v>
      </c>
      <c r="K1" s="9" t="s">
        <v>15</v>
      </c>
    </row>
    <row r="2" spans="1:15" x14ac:dyDescent="0.3">
      <c r="A2" s="1">
        <v>0</v>
      </c>
      <c r="B2" s="35">
        <f>COUPPCD(Resultados!B25,Resultados!D20,1,3)</f>
        <v>41440</v>
      </c>
      <c r="C2" s="34">
        <f>COUPDAYBS(Resultados!B25,Resultados!D20,1,3)</f>
        <v>135</v>
      </c>
      <c r="E2" s="10">
        <f>COUPNUM(Resultados!B25,Resultados!D20,1,3)</f>
        <v>3</v>
      </c>
      <c r="F2" s="12">
        <f>Resultados!B23*Resultados!B22</f>
        <v>253749999.99999997</v>
      </c>
      <c r="H2" s="1">
        <v>1</v>
      </c>
      <c r="I2" s="19">
        <f>IF('Ope. TES'!$E$2&gt;='Ope. TES'!H2,IF($H2=$E$2,$F$2+Resultados!$B$22,'Ope. TES'!$F$2)/((1+Resultados!$B$24)^(C3/365)),"")</f>
        <v>245919734.08359849</v>
      </c>
      <c r="K2" s="28">
        <f>SUM(I2:I101)</f>
        <v>3773327102.7108464</v>
      </c>
    </row>
    <row r="3" spans="1:15" x14ac:dyDescent="0.3">
      <c r="A3" s="15">
        <v>1</v>
      </c>
      <c r="B3" s="36">
        <f>IF(A3&lt;=$E$2,COUPNCD(Resultados!B25,Resultados!$D$20,1,3),"")</f>
        <v>41805</v>
      </c>
      <c r="C3" s="37">
        <f>IF(B3-B2=366,COUPDAYSNC(Resultados!$B$25,'Ope. TES'!B3,1,3)-1,COUPDAYSNC(Resultados!$B$25,'Ope. TES'!B3,1,3))</f>
        <v>230</v>
      </c>
      <c r="H3" s="15">
        <v>2</v>
      </c>
      <c r="I3" s="21">
        <f>IF('Ope. TES'!$E$2&gt;='Ope. TES'!H3,IF($H3=$E$2,$F$2+Resultados!$B$22,'Ope. TES'!$F$2)/((1+Resultados!$B$24)^(C4/365)),"")</f>
        <v>233986426.34024599</v>
      </c>
    </row>
    <row r="4" spans="1:15" ht="15" thickBot="1" x14ac:dyDescent="0.35">
      <c r="A4" s="15">
        <v>2</v>
      </c>
      <c r="B4" s="16">
        <f>IF(A4&lt;=$E$2,COUPNCD(B3,Resultados!$D$20,1,3),"")</f>
        <v>42170</v>
      </c>
      <c r="C4" s="23">
        <f>IF(A4&lt;=$E$2,C3+365,"")</f>
        <v>595</v>
      </c>
      <c r="F4" s="20"/>
      <c r="H4" s="15">
        <v>3</v>
      </c>
      <c r="I4" s="21">
        <f>IF('Ope. TES'!$E$2&gt;='Ope. TES'!H4,IF($H4=$E$2,$F$2+Resultados!$B$22,'Ope. TES'!$F$2)/((1+Resultados!$B$24)^(C5/365)),"")</f>
        <v>3293420942.2870021</v>
      </c>
      <c r="K4" s="9" t="s">
        <v>18</v>
      </c>
    </row>
    <row r="5" spans="1:15" x14ac:dyDescent="0.3">
      <c r="A5" s="15">
        <v>3</v>
      </c>
      <c r="B5" s="16">
        <f>IF(A5&lt;=$E$2,COUPNCD(B4,Resultados!$D$20,1,3),"")</f>
        <v>42536</v>
      </c>
      <c r="C5" s="23">
        <f t="shared" ref="C5:C68" si="0">IF(A5&lt;=$E$2,C4+365,"")</f>
        <v>960</v>
      </c>
      <c r="F5" s="38"/>
      <c r="H5" s="15">
        <v>4</v>
      </c>
      <c r="I5" s="21" t="str">
        <f>IF('Ope. TES'!$E$2&gt;='Ope. TES'!H5,IF($H5=$E$2,$F$2+Resultados!$B$22,'Ope. TES'!$F$2)/((1+Resultados!$B$24)^(C6/365)),"")</f>
        <v/>
      </c>
      <c r="K5" s="40">
        <f>K2/Resultados!B22</f>
        <v>1.0780934579173846</v>
      </c>
    </row>
    <row r="6" spans="1:15" x14ac:dyDescent="0.3">
      <c r="A6" s="15">
        <v>4</v>
      </c>
      <c r="B6" s="16" t="str">
        <f>IF(A6&lt;=$E$2,COUPNCD(B5,Resultados!$D$20,1,3),"")</f>
        <v/>
      </c>
      <c r="C6" s="23" t="str">
        <f t="shared" si="0"/>
        <v/>
      </c>
      <c r="F6" s="38"/>
      <c r="H6" s="15">
        <v>5</v>
      </c>
      <c r="I6" s="21" t="str">
        <f>IF('Ope. TES'!$E$2&gt;='Ope. TES'!H6,IF($H6=$E$2,$F$2+Resultados!$B$22,'Ope. TES'!$F$2)/((1+Resultados!$B$24)^(C7/365)),"")</f>
        <v/>
      </c>
    </row>
    <row r="7" spans="1:15" ht="15" thickBot="1" x14ac:dyDescent="0.35">
      <c r="A7" s="15">
        <v>5</v>
      </c>
      <c r="B7" s="16" t="str">
        <f>IF(A7&lt;=$E$2,COUPNCD(B6,Resultados!$D$20,1,3),"")</f>
        <v/>
      </c>
      <c r="C7" s="23" t="str">
        <f t="shared" si="0"/>
        <v/>
      </c>
      <c r="F7" s="38"/>
      <c r="H7" s="15">
        <v>6</v>
      </c>
      <c r="I7" s="21" t="str">
        <f>IF('Ope. TES'!$E$2&gt;='Ope. TES'!H7,IF($H7=$E$2,$F$2+Resultados!$B$22,'Ope. TES'!$F$2)/((1+Resultados!$B$24)^(C8/365)),"")</f>
        <v/>
      </c>
      <c r="K7" s="9" t="s">
        <v>17</v>
      </c>
    </row>
    <row r="8" spans="1:15" x14ac:dyDescent="0.3">
      <c r="A8" s="1">
        <v>6</v>
      </c>
      <c r="B8" s="16" t="str">
        <f>IF(A8&lt;=$E$2,COUPNCD(B7,Resultados!$D$20,1,3),"")</f>
        <v/>
      </c>
      <c r="C8" s="23" t="str">
        <f t="shared" si="0"/>
        <v/>
      </c>
      <c r="F8" s="38"/>
      <c r="H8" s="15">
        <v>7</v>
      </c>
      <c r="I8" s="21" t="str">
        <f>IF('Ope. TES'!$E$2&gt;='Ope. TES'!H8,IF($H8=$E$2,$F$2+Resultados!$B$22,'Ope. TES'!$F$2)/((1+Resultados!$B$24)^(C9/365)),"")</f>
        <v/>
      </c>
      <c r="K8" s="40">
        <f>(C2/365)*Resultados!B23</f>
        <v>2.6815068493150681E-2</v>
      </c>
    </row>
    <row r="9" spans="1:15" x14ac:dyDescent="0.3">
      <c r="A9" s="15">
        <v>7</v>
      </c>
      <c r="B9" s="16" t="str">
        <f>IF(A9&lt;=$E$2,COUPNCD(B8,Resultados!$D$20,1,3),"")</f>
        <v/>
      </c>
      <c r="C9" s="23" t="str">
        <f t="shared" si="0"/>
        <v/>
      </c>
      <c r="H9" s="15">
        <v>8</v>
      </c>
      <c r="I9" s="21" t="str">
        <f>IF('Ope. TES'!$E$2&gt;='Ope. TES'!H9,IF($H9=$E$2,$F$2+Resultados!$B$22,'Ope. TES'!$F$2)/((1+Resultados!$B$24)^(C10/365)),"")</f>
        <v/>
      </c>
      <c r="K9" s="25"/>
    </row>
    <row r="10" spans="1:15" ht="15" thickBot="1" x14ac:dyDescent="0.35">
      <c r="A10" s="15">
        <v>8</v>
      </c>
      <c r="B10" s="16" t="str">
        <f>IF(A10&lt;=$E$2,COUPNCD(B9,Resultados!$D$20,1,3),"")</f>
        <v/>
      </c>
      <c r="C10" s="23" t="str">
        <f t="shared" si="0"/>
        <v/>
      </c>
      <c r="H10" s="15">
        <v>9</v>
      </c>
      <c r="I10" s="21" t="str">
        <f>IF('Ope. TES'!$E$2&gt;='Ope. TES'!H10,IF($H10=$E$2,$F$2+Resultados!$B$22,'Ope. TES'!$F$2)/((1+Resultados!$B$24)^(C11/365)),"")</f>
        <v/>
      </c>
      <c r="K10" s="9" t="s">
        <v>19</v>
      </c>
    </row>
    <row r="11" spans="1:15" x14ac:dyDescent="0.3">
      <c r="A11" s="15">
        <v>9</v>
      </c>
      <c r="B11" s="16" t="str">
        <f>IF(A11&lt;=$E$2,COUPNCD(B10,Resultados!$D$20,1,3),"")</f>
        <v/>
      </c>
      <c r="C11" s="23" t="str">
        <f t="shared" si="0"/>
        <v/>
      </c>
      <c r="H11" s="15">
        <v>10</v>
      </c>
      <c r="I11" s="21" t="str">
        <f>IF('Ope. TES'!$E$2&gt;='Ope. TES'!H11,IF($H11=$E$2,$F$2+Resultados!$B$22,'Ope. TES'!$F$2)/((1+Resultados!$B$24)^(C12/365)),"")</f>
        <v/>
      </c>
      <c r="K11" s="40">
        <f>K5-K8</f>
        <v>1.0512783894242339</v>
      </c>
    </row>
    <row r="12" spans="1:15" x14ac:dyDescent="0.3">
      <c r="A12" s="15">
        <v>10</v>
      </c>
      <c r="B12" s="16" t="str">
        <f>IF(A12&lt;=$E$2,COUPNCD(B11,Resultados!$D$20,1,3),"")</f>
        <v/>
      </c>
      <c r="C12" s="23" t="str">
        <f t="shared" si="0"/>
        <v/>
      </c>
      <c r="H12" s="15">
        <v>11</v>
      </c>
      <c r="I12" s="21" t="str">
        <f>IF('Ope. TES'!$E$2&gt;='Ope. TES'!H12,IF($H12=$E$2,$F$2+Resultados!$B$22,'Ope. TES'!$F$2)/((1+Resultados!$B$24)^(C13/365)),"")</f>
        <v/>
      </c>
    </row>
    <row r="13" spans="1:15" x14ac:dyDescent="0.3">
      <c r="A13" s="15">
        <v>11</v>
      </c>
      <c r="B13" s="16" t="str">
        <f>IF(A13&lt;=$E$2,COUPNCD(B12,Resultados!$D$20,1,3),"")</f>
        <v/>
      </c>
      <c r="C13" s="23" t="str">
        <f t="shared" si="0"/>
        <v/>
      </c>
      <c r="H13" s="15">
        <v>12</v>
      </c>
      <c r="I13" s="21" t="str">
        <f>IF('Ope. TES'!$E$2&gt;='Ope. TES'!H13,IF($H13=$E$2,$F$2+Resultados!$B$22,'Ope. TES'!$F$2)/((1+Resultados!$B$24)^(C14/365)),"")</f>
        <v/>
      </c>
      <c r="K13" s="90" t="s">
        <v>43</v>
      </c>
      <c r="M13" s="90" t="s">
        <v>46</v>
      </c>
      <c r="O13" s="90" t="s">
        <v>47</v>
      </c>
    </row>
    <row r="14" spans="1:15" x14ac:dyDescent="0.3">
      <c r="A14" s="1">
        <v>12</v>
      </c>
      <c r="B14" s="16" t="str">
        <f>IF(A14&lt;=$E$2,COUPNCD(B13,Resultados!$D$20,1,3),"")</f>
        <v/>
      </c>
      <c r="C14" s="23" t="str">
        <f t="shared" si="0"/>
        <v/>
      </c>
      <c r="H14" s="15">
        <v>13</v>
      </c>
      <c r="I14" s="21" t="str">
        <f>IF('Ope. TES'!$E$2&gt;='Ope. TES'!H14,IF($H14=$E$2,$F$2+Resultados!$B$22,'Ope. TES'!$F$2)/((1+Resultados!$B$24)^(C15/365)),"")</f>
        <v/>
      </c>
      <c r="K14" s="19">
        <f>I2*(C3/365)</f>
        <v>154963120.10747302</v>
      </c>
      <c r="M14" s="19">
        <f>K14*(1+(C3/365))</f>
        <v>252611113.59985325</v>
      </c>
      <c r="O14" s="95">
        <v>5.0000000000000001E-3</v>
      </c>
    </row>
    <row r="15" spans="1:15" x14ac:dyDescent="0.3">
      <c r="A15" s="15">
        <v>13</v>
      </c>
      <c r="B15" s="16" t="str">
        <f>IF(A15&lt;=$E$2,COUPNCD(B14,Resultados!$D$20,1,3),"")</f>
        <v/>
      </c>
      <c r="C15" s="23" t="str">
        <f t="shared" si="0"/>
        <v/>
      </c>
      <c r="H15" s="15">
        <v>14</v>
      </c>
      <c r="I15" s="21" t="str">
        <f>IF('Ope. TES'!$E$2&gt;='Ope. TES'!H15,IF($H15=$E$2,$F$2+Resultados!$B$22,'Ope. TES'!$F$2)/((1+Resultados!$B$24)^(C16/365)),"")</f>
        <v/>
      </c>
      <c r="K15" s="19">
        <f t="shared" ref="K15:K18" si="1">I3*(C4/365)</f>
        <v>381429927.86971611</v>
      </c>
      <c r="M15" s="19">
        <f>K15*(1+(C4/365))</f>
        <v>1003212960.972404</v>
      </c>
    </row>
    <row r="16" spans="1:15" x14ac:dyDescent="0.3">
      <c r="A16" s="15">
        <v>14</v>
      </c>
      <c r="B16" s="16" t="str">
        <f>IF(A16&lt;=$E$2,COUPNCD(B15,Resultados!$D$20,1,3),"")</f>
        <v/>
      </c>
      <c r="C16" s="23" t="str">
        <f t="shared" si="0"/>
        <v/>
      </c>
      <c r="H16" s="15">
        <v>15</v>
      </c>
      <c r="I16" s="21" t="str">
        <f>IF('Ope. TES'!$E$2&gt;='Ope. TES'!H16,IF($H16=$E$2,$F$2+Resultados!$B$22,'Ope. TES'!$F$2)/((1+Resultados!$B$24)^(C17/365)),"")</f>
        <v/>
      </c>
      <c r="K16" s="19">
        <f>3537240370.28*(600/365)</f>
        <v>5814641704.5698633</v>
      </c>
      <c r="M16" s="19"/>
      <c r="O16" s="90" t="s">
        <v>48</v>
      </c>
    </row>
    <row r="17" spans="1:15" x14ac:dyDescent="0.3">
      <c r="A17" s="15">
        <v>15</v>
      </c>
      <c r="B17" s="16" t="str">
        <f>IF(A17&lt;=$E$2,COUPNCD(B16,Resultados!$D$20,1,3),"")</f>
        <v/>
      </c>
      <c r="C17" s="23" t="str">
        <f t="shared" si="0"/>
        <v/>
      </c>
      <c r="F17" s="19"/>
      <c r="H17" s="15">
        <v>16</v>
      </c>
      <c r="I17" s="21" t="str">
        <f>IF('Ope. TES'!$E$2&gt;='Ope. TES'!H17,IF($H17=$E$2,$F$2+Resultados!$B$22,'Ope. TES'!$F$2)/((1+Resultados!$B$24)^(C18/365)),"")</f>
        <v/>
      </c>
      <c r="K17" s="19"/>
      <c r="M17" s="19"/>
      <c r="O17" s="94">
        <f>O14*K23+(1/2)*(O14)^2*M23</f>
        <v>-30373514.802556049</v>
      </c>
    </row>
    <row r="18" spans="1:15" x14ac:dyDescent="0.3">
      <c r="A18" s="15">
        <v>16</v>
      </c>
      <c r="B18" s="16" t="str">
        <f>IF(A18&lt;=$E$2,COUPNCD(B17,Resultados!$D$20,1,3),"")</f>
        <v/>
      </c>
      <c r="C18" s="23" t="str">
        <f t="shared" si="0"/>
        <v/>
      </c>
      <c r="H18" s="15">
        <v>17</v>
      </c>
      <c r="I18" s="21" t="str">
        <f>IF('Ope. TES'!$E$2&gt;='Ope. TES'!H18,IF($H18=$E$2,$F$2+Resultados!$B$22,'Ope. TES'!$F$2)/((1+Resultados!$B$24)^(C19/365)),"")</f>
        <v/>
      </c>
      <c r="K18" s="19"/>
      <c r="M18" s="19"/>
    </row>
    <row r="19" spans="1:15" x14ac:dyDescent="0.3">
      <c r="A19" s="15">
        <v>17</v>
      </c>
      <c r="B19" s="16" t="str">
        <f>IF(A19&lt;=$E$2,COUPNCD(B18,Resultados!$D$20,1,3),"")</f>
        <v/>
      </c>
      <c r="C19" s="23" t="str">
        <f t="shared" si="0"/>
        <v/>
      </c>
      <c r="H19" s="15">
        <v>18</v>
      </c>
      <c r="I19" s="21" t="str">
        <f>IF('Ope. TES'!$E$2&gt;='Ope. TES'!H19,IF($H19=$E$2,$F$2+Resultados!$B$22,'Ope. TES'!$F$2)/((1+Resultados!$B$24)^(C20/365)),"")</f>
        <v/>
      </c>
      <c r="K19" s="91">
        <f>SUM(K14:K18)</f>
        <v>6351034752.5470524</v>
      </c>
      <c r="M19" s="91">
        <f>SUM(M14:M18)</f>
        <v>1255824074.5722573</v>
      </c>
      <c r="O19" s="90" t="s">
        <v>49</v>
      </c>
    </row>
    <row r="20" spans="1:15" x14ac:dyDescent="0.3">
      <c r="A20" s="1">
        <v>18</v>
      </c>
      <c r="B20" s="16" t="str">
        <f>IF(A20&lt;=$E$2,COUPNCD(B19,Resultados!$D$20,1,3),"")</f>
        <v/>
      </c>
      <c r="C20" s="23" t="str">
        <f t="shared" si="0"/>
        <v/>
      </c>
      <c r="H20" s="15">
        <v>19</v>
      </c>
      <c r="I20" s="21" t="str">
        <f>IF('Ope. TES'!$E$2&gt;='Ope. TES'!H20,IF($H20=$E$2,$F$2+Resultados!$B$22,'Ope. TES'!$F$2)/((1+Resultados!$B$24)^(C21/365)),"")</f>
        <v/>
      </c>
      <c r="K20" s="86"/>
      <c r="O20" s="94">
        <f>K23/10000</f>
        <v>-607754.52177483763</v>
      </c>
    </row>
    <row r="21" spans="1:15" x14ac:dyDescent="0.3">
      <c r="A21" s="15">
        <v>19</v>
      </c>
      <c r="B21" s="16" t="str">
        <f>IF(A21&lt;=$E$2,COUPNCD(B20,Resultados!$D$20,1,3),"")</f>
        <v/>
      </c>
      <c r="C21" s="23" t="str">
        <f t="shared" si="0"/>
        <v/>
      </c>
      <c r="H21" s="15">
        <v>20</v>
      </c>
      <c r="I21" s="21" t="str">
        <f>IF('Ope. TES'!$E$2&gt;='Ope. TES'!H21,IF($H21=$E$2,$F$2+Resultados!$B$22,'Ope. TES'!$F$2)/((1+Resultados!$B$24)^(C22/365)),"")</f>
        <v/>
      </c>
      <c r="K21" s="87">
        <f>(1+4.5%)</f>
        <v>1.0449999999999999</v>
      </c>
      <c r="M21" s="1">
        <f>(1+Resultados!B24)^2</f>
        <v>1.1046009999999999</v>
      </c>
    </row>
    <row r="22" spans="1:15" x14ac:dyDescent="0.3">
      <c r="A22" s="15">
        <v>20</v>
      </c>
      <c r="B22" s="16" t="str">
        <f>IF(A22&lt;=$E$2,COUPNCD(B21,Resultados!$D$20,1,3),"")</f>
        <v/>
      </c>
      <c r="C22" s="23" t="str">
        <f t="shared" si="0"/>
        <v/>
      </c>
      <c r="H22" s="15">
        <v>21</v>
      </c>
      <c r="I22" s="21" t="str">
        <f>IF('Ope. TES'!$E$2&gt;='Ope. TES'!H22,IF($H22=$E$2,$F$2+Resultados!$B$22,'Ope. TES'!$F$2)/((1+Resultados!$B$24)^(C23/365)),"")</f>
        <v/>
      </c>
    </row>
    <row r="23" spans="1:15" x14ac:dyDescent="0.3">
      <c r="A23" s="15">
        <v>21</v>
      </c>
      <c r="B23" s="16" t="str">
        <f>IF(A23&lt;=$E$2,COUPNCD(B22,Resultados!$D$20,1,3),"")</f>
        <v/>
      </c>
      <c r="C23" s="23" t="str">
        <f t="shared" si="0"/>
        <v/>
      </c>
      <c r="H23" s="15">
        <v>22</v>
      </c>
      <c r="I23" s="21" t="str">
        <f>IF('Ope. TES'!$E$2&gt;='Ope. TES'!H23,IF($H23=$E$2,$F$2+Resultados!$B$22,'Ope. TES'!$F$2)/((1+Resultados!$B$24)^(C24/365)),"")</f>
        <v/>
      </c>
      <c r="J23" s="90" t="s">
        <v>43</v>
      </c>
      <c r="K23" s="92">
        <f>-K19/K21</f>
        <v>-6077545217.7483759</v>
      </c>
      <c r="L23" s="89"/>
      <c r="M23" s="88">
        <f>M19/M21</f>
        <v>1136902894.866343</v>
      </c>
    </row>
    <row r="24" spans="1:15" x14ac:dyDescent="0.3">
      <c r="A24" s="15">
        <v>22</v>
      </c>
      <c r="B24" s="16" t="str">
        <f>IF(A24&lt;=$E$2,COUPNCD(B23,Resultados!$D$20,1,3),"")</f>
        <v/>
      </c>
      <c r="C24" s="23" t="str">
        <f t="shared" si="0"/>
        <v/>
      </c>
      <c r="H24" s="15">
        <v>23</v>
      </c>
      <c r="I24" s="21" t="str">
        <f>IF('Ope. TES'!$E$2&gt;='Ope. TES'!H24,IF($H24=$E$2,$F$2+Resultados!$B$22,'Ope. TES'!$F$2)/((1+Resultados!$B$24)^(C25/365)),"")</f>
        <v/>
      </c>
      <c r="J24" s="90" t="s">
        <v>45</v>
      </c>
      <c r="K24" s="93">
        <f>IMABS(K23/K26)</f>
        <v>1.7181600857018633</v>
      </c>
    </row>
    <row r="25" spans="1:15" x14ac:dyDescent="0.3">
      <c r="A25" s="15">
        <v>23</v>
      </c>
      <c r="B25" s="16" t="str">
        <f>IF(A25&lt;=$E$2,COUPNCD(B24,Resultados!$D$20,1,3),"")</f>
        <v/>
      </c>
      <c r="C25" s="23" t="str">
        <f t="shared" si="0"/>
        <v/>
      </c>
      <c r="H25" s="15">
        <v>24</v>
      </c>
      <c r="I25" s="21" t="str">
        <f>IF('Ope. TES'!$E$2&gt;='Ope. TES'!H25,IF($H25=$E$2,$F$2+Resultados!$B$22,'Ope. TES'!$F$2)/((1+Resultados!$B$24)^(C26/365)),"")</f>
        <v/>
      </c>
      <c r="J25" s="90" t="s">
        <v>44</v>
      </c>
      <c r="K25" s="93">
        <f>K24*(1+4.5%)</f>
        <v>1.795477289558447</v>
      </c>
    </row>
    <row r="26" spans="1:15" x14ac:dyDescent="0.3">
      <c r="A26" s="1">
        <v>24</v>
      </c>
      <c r="B26" s="16" t="str">
        <f>IF(A26&lt;=$E$2,COUPNCD(B25,Resultados!$D$20,1,3),"")</f>
        <v/>
      </c>
      <c r="C26" s="23" t="str">
        <f t="shared" si="0"/>
        <v/>
      </c>
      <c r="H26" s="15">
        <v>25</v>
      </c>
      <c r="I26" s="21" t="str">
        <f>IF('Ope. TES'!$E$2&gt;='Ope. TES'!H26,IF($H26=$E$2,$F$2+Resultados!$B$22,'Ope. TES'!$F$2)/((1+Resultados!$B$24)^(C27/365)),"")</f>
        <v/>
      </c>
      <c r="K26" s="98">
        <v>3537240370.2800002</v>
      </c>
    </row>
    <row r="27" spans="1:15" x14ac:dyDescent="0.3">
      <c r="A27" s="15">
        <v>25</v>
      </c>
      <c r="B27" s="16" t="str">
        <f>IF(A27&lt;=$E$2,COUPNCD(B26,Resultados!$D$20,1,3),"")</f>
        <v/>
      </c>
      <c r="C27" s="23" t="str">
        <f t="shared" si="0"/>
        <v/>
      </c>
      <c r="H27" s="15">
        <v>26</v>
      </c>
      <c r="I27" s="21" t="str">
        <f>IF('Ope. TES'!$E$2&gt;='Ope. TES'!H27,IF($H27=$E$2,$F$2+Resultados!$B$22,'Ope. TES'!$F$2)/((1+Resultados!$B$24)^(C28/365)),"")</f>
        <v/>
      </c>
    </row>
    <row r="28" spans="1:15" x14ac:dyDescent="0.3">
      <c r="A28" s="15">
        <v>26</v>
      </c>
      <c r="B28" s="16" t="str">
        <f>IF(A28&lt;=$E$2,COUPNCD(B27,Resultados!$D$20,1,3),"")</f>
        <v/>
      </c>
      <c r="C28" s="23" t="str">
        <f t="shared" si="0"/>
        <v/>
      </c>
      <c r="H28" s="15">
        <v>27</v>
      </c>
      <c r="I28" s="21" t="str">
        <f>IF('Ope. TES'!$E$2&gt;='Ope. TES'!H28,IF($H28=$E$2,$F$2+Resultados!$B$22,'Ope. TES'!$F$2)/((1+Resultados!$B$24)^(C29/365)),"")</f>
        <v/>
      </c>
    </row>
    <row r="29" spans="1:15" x14ac:dyDescent="0.3">
      <c r="A29" s="15">
        <v>27</v>
      </c>
      <c r="B29" s="16" t="str">
        <f>IF(A29&lt;=$E$2,COUPNCD(B28,Resultados!$D$20,1,3),"")</f>
        <v/>
      </c>
      <c r="C29" s="23" t="str">
        <f t="shared" si="0"/>
        <v/>
      </c>
      <c r="H29" s="15">
        <v>28</v>
      </c>
      <c r="I29" s="21" t="str">
        <f>IF('Ope. TES'!$E$2&gt;='Ope. TES'!H29,IF($H29=$E$2,$F$2+Resultados!$B$22,'Ope. TES'!$F$2)/((1+Resultados!$B$24)^(C30/365)),"")</f>
        <v/>
      </c>
    </row>
    <row r="30" spans="1:15" x14ac:dyDescent="0.3">
      <c r="A30" s="15">
        <v>28</v>
      </c>
      <c r="B30" s="16" t="str">
        <f>IF(A30&lt;=$E$2,COUPNCD(B29,Resultados!$D$20,1,3),"")</f>
        <v/>
      </c>
      <c r="C30" s="23" t="str">
        <f t="shared" si="0"/>
        <v/>
      </c>
      <c r="H30" s="15">
        <v>29</v>
      </c>
      <c r="I30" s="21" t="str">
        <f>IF('Ope. TES'!$E$2&gt;='Ope. TES'!H30,IF($H30=$E$2,$F$2+Resultados!$B$22,'Ope. TES'!$F$2)/((1+Resultados!$B$24)^(C31/365)),"")</f>
        <v/>
      </c>
    </row>
    <row r="31" spans="1:15" x14ac:dyDescent="0.3">
      <c r="A31" s="15">
        <v>29</v>
      </c>
      <c r="B31" s="16" t="str">
        <f>IF(A31&lt;=$E$2,COUPNCD(B30,Resultados!$D$20,1,3),"")</f>
        <v/>
      </c>
      <c r="C31" s="23" t="str">
        <f t="shared" si="0"/>
        <v/>
      </c>
      <c r="H31" s="15">
        <v>30</v>
      </c>
      <c r="I31" s="21" t="str">
        <f>IF('Ope. TES'!$E$2&gt;='Ope. TES'!H31,IF($H31=$E$2,$F$2+Resultados!$B$22,'Ope. TES'!$F$2)/((1+Resultados!$B$24)^(C32/365)),"")</f>
        <v/>
      </c>
    </row>
    <row r="32" spans="1:15" x14ac:dyDescent="0.3">
      <c r="A32" s="1">
        <v>30</v>
      </c>
      <c r="B32" s="16" t="str">
        <f>IF(A32&lt;=$E$2,COUPNCD(B31,Resultados!$D$20,1,3),"")</f>
        <v/>
      </c>
      <c r="C32" s="23" t="str">
        <f t="shared" si="0"/>
        <v/>
      </c>
      <c r="H32" s="15">
        <v>31</v>
      </c>
      <c r="I32" s="21" t="str">
        <f>IF('Ope. TES'!$E$2&gt;='Ope. TES'!H32,IF($H32=$E$2,$F$2+Resultados!$B$22,'Ope. TES'!$F$2)/((1+Resultados!$B$24)^(C33/365)),"")</f>
        <v/>
      </c>
    </row>
    <row r="33" spans="1:9" x14ac:dyDescent="0.3">
      <c r="A33" s="15">
        <v>31</v>
      </c>
      <c r="B33" s="16" t="str">
        <f>IF(A33&lt;=$E$2,COUPNCD(B32,Resultados!$D$20,1,3),"")</f>
        <v/>
      </c>
      <c r="C33" s="23" t="str">
        <f t="shared" si="0"/>
        <v/>
      </c>
      <c r="H33" s="15">
        <v>32</v>
      </c>
      <c r="I33" s="21" t="str">
        <f>IF('Ope. TES'!$E$2&gt;='Ope. TES'!H33,IF($H33=$E$2,$F$2+Resultados!$B$22,'Ope. TES'!$F$2)/((1+Resultados!$B$24)^(C34/365)),"")</f>
        <v/>
      </c>
    </row>
    <row r="34" spans="1:9" x14ac:dyDescent="0.3">
      <c r="A34" s="15">
        <v>32</v>
      </c>
      <c r="B34" s="16" t="str">
        <f>IF(A34&lt;=$E$2,COUPNCD(B33,Resultados!$D$20,1,3),"")</f>
        <v/>
      </c>
      <c r="C34" s="23" t="str">
        <f t="shared" si="0"/>
        <v/>
      </c>
      <c r="H34" s="15">
        <v>33</v>
      </c>
      <c r="I34" s="21" t="str">
        <f>IF('Ope. TES'!$E$2&gt;='Ope. TES'!H34,IF($H34=$E$2,$F$2+Resultados!$B$22,'Ope. TES'!$F$2)/((1+Resultados!$B$24)^(C35/365)),"")</f>
        <v/>
      </c>
    </row>
    <row r="35" spans="1:9" x14ac:dyDescent="0.3">
      <c r="A35" s="15">
        <v>33</v>
      </c>
      <c r="B35" s="16" t="str">
        <f>IF(A35&lt;=$E$2,COUPNCD(B34,Resultados!$D$20,1,3),"")</f>
        <v/>
      </c>
      <c r="C35" s="23" t="str">
        <f t="shared" si="0"/>
        <v/>
      </c>
      <c r="H35" s="15">
        <v>34</v>
      </c>
      <c r="I35" s="21" t="str">
        <f>IF('Ope. TES'!$E$2&gt;='Ope. TES'!H35,IF($H35=$E$2,$F$2+Resultados!$B$22,'Ope. TES'!$F$2)/((1+Resultados!$B$24)^(C36/365)),"")</f>
        <v/>
      </c>
    </row>
    <row r="36" spans="1:9" x14ac:dyDescent="0.3">
      <c r="A36" s="15">
        <v>34</v>
      </c>
      <c r="B36" s="16" t="str">
        <f>IF(A36&lt;=$E$2,COUPNCD(B35,Resultados!$D$20,1,3),"")</f>
        <v/>
      </c>
      <c r="C36" s="23" t="str">
        <f t="shared" si="0"/>
        <v/>
      </c>
      <c r="H36" s="15">
        <v>35</v>
      </c>
      <c r="I36" s="21" t="str">
        <f>IF('Ope. TES'!$E$2&gt;='Ope. TES'!H36,IF($H36=$E$2,$F$2+Resultados!$B$22,'Ope. TES'!$F$2)/((1+Resultados!$B$24)^(C37/365)),"")</f>
        <v/>
      </c>
    </row>
    <row r="37" spans="1:9" x14ac:dyDescent="0.3">
      <c r="A37" s="15">
        <v>35</v>
      </c>
      <c r="B37" s="16" t="str">
        <f>IF(A37&lt;=$E$2,COUPNCD(B36,Resultados!$D$20,1,3),"")</f>
        <v/>
      </c>
      <c r="C37" s="23" t="str">
        <f t="shared" si="0"/>
        <v/>
      </c>
      <c r="H37" s="15">
        <v>36</v>
      </c>
      <c r="I37" s="21" t="str">
        <f>IF('Ope. TES'!$E$2&gt;='Ope. TES'!H37,IF($H37=$E$2,$F$2+Resultados!$B$22,'Ope. TES'!$F$2)/((1+Resultados!$B$24)^(C38/365)),"")</f>
        <v/>
      </c>
    </row>
    <row r="38" spans="1:9" x14ac:dyDescent="0.3">
      <c r="A38" s="1">
        <v>36</v>
      </c>
      <c r="B38" s="16" t="str">
        <f>IF(A38&lt;=$E$2,COUPNCD(B37,Resultados!$D$20,1,3),"")</f>
        <v/>
      </c>
      <c r="C38" s="23" t="str">
        <f t="shared" si="0"/>
        <v/>
      </c>
      <c r="H38" s="15">
        <v>37</v>
      </c>
      <c r="I38" s="21" t="str">
        <f>IF('Ope. TES'!$E$2&gt;='Ope. TES'!H38,IF($H38=$E$2,$F$2+Resultados!$B$22,'Ope. TES'!$F$2)/((1+Resultados!$B$24)^(C39/365)),"")</f>
        <v/>
      </c>
    </row>
    <row r="39" spans="1:9" x14ac:dyDescent="0.3">
      <c r="A39" s="15">
        <v>37</v>
      </c>
      <c r="B39" s="16" t="str">
        <f>IF(A39&lt;=$E$2,COUPNCD(B38,Resultados!$D$20,1,3),"")</f>
        <v/>
      </c>
      <c r="C39" s="23" t="str">
        <f t="shared" si="0"/>
        <v/>
      </c>
      <c r="H39" s="15">
        <v>38</v>
      </c>
      <c r="I39" s="21" t="str">
        <f>IF('Ope. TES'!$E$2&gt;='Ope. TES'!H39,IF($H39=$E$2,$F$2+Resultados!$B$22,'Ope. TES'!$F$2)/((1+Resultados!$B$24)^(C40/365)),"")</f>
        <v/>
      </c>
    </row>
    <row r="40" spans="1:9" x14ac:dyDescent="0.3">
      <c r="A40" s="15">
        <v>38</v>
      </c>
      <c r="B40" s="16" t="str">
        <f>IF(A40&lt;=$E$2,COUPNCD(B39,Resultados!$D$20,1,3),"")</f>
        <v/>
      </c>
      <c r="C40" s="23" t="str">
        <f t="shared" si="0"/>
        <v/>
      </c>
      <c r="H40" s="15">
        <v>39</v>
      </c>
      <c r="I40" s="21" t="str">
        <f>IF('Ope. TES'!$E$2&gt;='Ope. TES'!H40,IF($H40=$E$2,$F$2+Resultados!$B$22,'Ope. TES'!$F$2)/((1+Resultados!$B$24)^(C41/365)),"")</f>
        <v/>
      </c>
    </row>
    <row r="41" spans="1:9" x14ac:dyDescent="0.3">
      <c r="A41" s="15">
        <v>39</v>
      </c>
      <c r="B41" s="16" t="str">
        <f>IF(A41&lt;=$E$2,COUPNCD(B40,Resultados!$D$20,1,3),"")</f>
        <v/>
      </c>
      <c r="C41" s="23" t="str">
        <f t="shared" si="0"/>
        <v/>
      </c>
      <c r="H41" s="15">
        <v>40</v>
      </c>
      <c r="I41" s="21" t="str">
        <f>IF('Ope. TES'!$E$2&gt;='Ope. TES'!H41,IF($H41=$E$2,$F$2+Resultados!$B$22,'Ope. TES'!$F$2)/((1+Resultados!$B$24)^(C42/365)),"")</f>
        <v/>
      </c>
    </row>
    <row r="42" spans="1:9" x14ac:dyDescent="0.3">
      <c r="A42" s="15">
        <v>40</v>
      </c>
      <c r="B42" s="16" t="str">
        <f>IF(A42&lt;=$E$2,COUPNCD(B41,Resultados!$D$20,1,3),"")</f>
        <v/>
      </c>
      <c r="C42" s="23" t="str">
        <f t="shared" si="0"/>
        <v/>
      </c>
      <c r="H42" s="15">
        <v>41</v>
      </c>
      <c r="I42" s="21" t="str">
        <f>IF('Ope. TES'!$E$2&gt;='Ope. TES'!H42,IF($H42=$E$2,$F$2+Resultados!$B$22,'Ope. TES'!$F$2)/((1+Resultados!$B$24)^(C43/365)),"")</f>
        <v/>
      </c>
    </row>
    <row r="43" spans="1:9" x14ac:dyDescent="0.3">
      <c r="A43" s="15">
        <v>41</v>
      </c>
      <c r="B43" s="16" t="str">
        <f>IF(A43&lt;=$E$2,COUPNCD(B42,Resultados!$D$20,1,3),"")</f>
        <v/>
      </c>
      <c r="C43" s="23" t="str">
        <f t="shared" si="0"/>
        <v/>
      </c>
      <c r="H43" s="15">
        <v>42</v>
      </c>
      <c r="I43" s="21" t="str">
        <f>IF('Ope. TES'!$E$2&gt;='Ope. TES'!H43,IF($H43=$E$2,$F$2+Resultados!$B$22,'Ope. TES'!$F$2)/((1+Resultados!$B$24)^(C44/365)),"")</f>
        <v/>
      </c>
    </row>
    <row r="44" spans="1:9" x14ac:dyDescent="0.3">
      <c r="A44" s="1">
        <v>42</v>
      </c>
      <c r="B44" s="16" t="str">
        <f>IF(A44&lt;=$E$2,COUPNCD(B43,Resultados!$D$20,1,3),"")</f>
        <v/>
      </c>
      <c r="C44" s="23" t="str">
        <f t="shared" si="0"/>
        <v/>
      </c>
      <c r="H44" s="15">
        <v>43</v>
      </c>
      <c r="I44" s="21" t="str">
        <f>IF('Ope. TES'!$E$2&gt;='Ope. TES'!H44,IF($H44=$E$2,$F$2+Resultados!$B$22,'Ope. TES'!$F$2)/((1+Resultados!$B$24)^(C45/365)),"")</f>
        <v/>
      </c>
    </row>
    <row r="45" spans="1:9" x14ac:dyDescent="0.3">
      <c r="A45" s="15">
        <v>43</v>
      </c>
      <c r="B45" s="16" t="str">
        <f>IF(A45&lt;=$E$2,COUPNCD(B44,Resultados!$D$20,1,3),"")</f>
        <v/>
      </c>
      <c r="C45" s="23" t="str">
        <f t="shared" si="0"/>
        <v/>
      </c>
      <c r="H45" s="15">
        <v>44</v>
      </c>
      <c r="I45" s="21" t="str">
        <f>IF('Ope. TES'!$E$2&gt;='Ope. TES'!H45,IF($H45=$E$2,$F$2+Resultados!$B$22,'Ope. TES'!$F$2)/((1+Resultados!$B$24)^(C46/365)),"")</f>
        <v/>
      </c>
    </row>
    <row r="46" spans="1:9" x14ac:dyDescent="0.3">
      <c r="A46" s="15">
        <v>44</v>
      </c>
      <c r="B46" s="16" t="str">
        <f>IF(A46&lt;=$E$2,COUPNCD(B45,Resultados!$D$20,1,3),"")</f>
        <v/>
      </c>
      <c r="C46" s="23" t="str">
        <f t="shared" si="0"/>
        <v/>
      </c>
      <c r="H46" s="15">
        <v>45</v>
      </c>
      <c r="I46" s="21" t="str">
        <f>IF('Ope. TES'!$E$2&gt;='Ope. TES'!H46,IF($H46=$E$2,$F$2+Resultados!$B$22,'Ope. TES'!$F$2)/((1+Resultados!$B$24)^(C47/365)),"")</f>
        <v/>
      </c>
    </row>
    <row r="47" spans="1:9" x14ac:dyDescent="0.3">
      <c r="A47" s="15">
        <v>45</v>
      </c>
      <c r="B47" s="16" t="str">
        <f>IF(A47&lt;=$E$2,COUPNCD(B46,Resultados!$D$20,1,3),"")</f>
        <v/>
      </c>
      <c r="C47" s="23" t="str">
        <f t="shared" si="0"/>
        <v/>
      </c>
      <c r="H47" s="15">
        <v>46</v>
      </c>
      <c r="I47" s="21" t="str">
        <f>IF('Ope. TES'!$E$2&gt;='Ope. TES'!H47,IF($H47=$E$2,$F$2+Resultados!$B$22,'Ope. TES'!$F$2)/((1+Resultados!$B$24)^(C48/365)),"")</f>
        <v/>
      </c>
    </row>
    <row r="48" spans="1:9" x14ac:dyDescent="0.3">
      <c r="A48" s="15">
        <v>46</v>
      </c>
      <c r="B48" s="16" t="str">
        <f>IF(A48&lt;=$E$2,COUPNCD(B47,Resultados!$D$20,1,3),"")</f>
        <v/>
      </c>
      <c r="C48" s="23" t="str">
        <f t="shared" si="0"/>
        <v/>
      </c>
      <c r="H48" s="15">
        <v>47</v>
      </c>
      <c r="I48" s="21" t="str">
        <f>IF('Ope. TES'!$E$2&gt;='Ope. TES'!H48,IF($H48=$E$2,$F$2+Resultados!$B$22,'Ope. TES'!$F$2)/((1+Resultados!$B$24)^(C49/365)),"")</f>
        <v/>
      </c>
    </row>
    <row r="49" spans="1:9" x14ac:dyDescent="0.3">
      <c r="A49" s="15">
        <v>47</v>
      </c>
      <c r="B49" s="16" t="str">
        <f>IF(A49&lt;=$E$2,COUPNCD(B48,Resultados!$D$20,1,3),"")</f>
        <v/>
      </c>
      <c r="C49" s="23" t="str">
        <f t="shared" si="0"/>
        <v/>
      </c>
      <c r="H49" s="15">
        <v>48</v>
      </c>
      <c r="I49" s="21" t="str">
        <f>IF('Ope. TES'!$E$2&gt;='Ope. TES'!H49,IF($H49=$E$2,$F$2+Resultados!$B$22,'Ope. TES'!$F$2)/((1+Resultados!$B$24)^(C50/365)),"")</f>
        <v/>
      </c>
    </row>
    <row r="50" spans="1:9" x14ac:dyDescent="0.3">
      <c r="A50" s="1">
        <v>48</v>
      </c>
      <c r="B50" s="16" t="str">
        <f>IF(A50&lt;=$E$2,COUPNCD(B49,Resultados!$D$20,1,3),"")</f>
        <v/>
      </c>
      <c r="C50" s="23" t="str">
        <f t="shared" si="0"/>
        <v/>
      </c>
      <c r="H50" s="15">
        <v>49</v>
      </c>
      <c r="I50" s="21" t="str">
        <f>IF('Ope. TES'!$E$2&gt;='Ope. TES'!H50,IF($H50=$E$2,$F$2+Resultados!$B$22,'Ope. TES'!$F$2)/((1+Resultados!$B$24)^(C51/365)),"")</f>
        <v/>
      </c>
    </row>
    <row r="51" spans="1:9" x14ac:dyDescent="0.3">
      <c r="A51" s="15">
        <v>49</v>
      </c>
      <c r="B51" s="16" t="str">
        <f>IF(A51&lt;=$E$2,COUPNCD(B50,Resultados!$D$20,1,3),"")</f>
        <v/>
      </c>
      <c r="C51" s="23" t="str">
        <f t="shared" si="0"/>
        <v/>
      </c>
      <c r="H51" s="15">
        <v>50</v>
      </c>
      <c r="I51" s="21" t="str">
        <f>IF('Ope. TES'!$E$2&gt;='Ope. TES'!H51,IF($H51=$E$2,$F$2+Resultados!$B$22,'Ope. TES'!$F$2)/((1+Resultados!$B$24)^(C52/365)),"")</f>
        <v/>
      </c>
    </row>
    <row r="52" spans="1:9" x14ac:dyDescent="0.3">
      <c r="A52" s="15">
        <v>50</v>
      </c>
      <c r="B52" s="16" t="str">
        <f>IF(A52&lt;=$E$2,COUPNCD(B51,Resultados!$D$20,1,3),"")</f>
        <v/>
      </c>
      <c r="C52" s="23" t="str">
        <f t="shared" si="0"/>
        <v/>
      </c>
      <c r="H52" s="15">
        <v>51</v>
      </c>
      <c r="I52" s="21" t="str">
        <f>IF('Ope. TES'!$E$2&gt;='Ope. TES'!H52,IF($H52=$E$2,$F$2+Resultados!$B$22,'Ope. TES'!$F$2)/((1+Resultados!$B$24)^(C53/365)),"")</f>
        <v/>
      </c>
    </row>
    <row r="53" spans="1:9" x14ac:dyDescent="0.3">
      <c r="A53" s="15">
        <v>51</v>
      </c>
      <c r="B53" s="16" t="str">
        <f>IF(A53&lt;=$E$2,COUPNCD(B52,Resultados!$D$20,1,3),"")</f>
        <v/>
      </c>
      <c r="C53" s="23" t="str">
        <f t="shared" si="0"/>
        <v/>
      </c>
      <c r="H53" s="15">
        <v>52</v>
      </c>
      <c r="I53" s="21" t="str">
        <f>IF('Ope. TES'!$E$2&gt;='Ope. TES'!H53,IF($H53=$E$2,$F$2+Resultados!$B$22,'Ope. TES'!$F$2)/((1+Resultados!$B$24)^(C54/365)),"")</f>
        <v/>
      </c>
    </row>
    <row r="54" spans="1:9" x14ac:dyDescent="0.3">
      <c r="A54" s="15">
        <v>52</v>
      </c>
      <c r="B54" s="16" t="str">
        <f>IF(A54&lt;=$E$2,COUPNCD(B53,Resultados!$D$20,1,3),"")</f>
        <v/>
      </c>
      <c r="C54" s="23" t="str">
        <f t="shared" si="0"/>
        <v/>
      </c>
      <c r="H54" s="15">
        <v>53</v>
      </c>
      <c r="I54" s="21" t="str">
        <f>IF('Ope. TES'!$E$2&gt;='Ope. TES'!H54,IF($H54=$E$2,$F$2+Resultados!$B$22,'Ope. TES'!$F$2)/((1+Resultados!$B$24)^(C55/365)),"")</f>
        <v/>
      </c>
    </row>
    <row r="55" spans="1:9" x14ac:dyDescent="0.3">
      <c r="A55" s="15">
        <v>53</v>
      </c>
      <c r="B55" s="16" t="str">
        <f>IF(A55&lt;=$E$2,COUPNCD(B54,Resultados!$D$20,1,3),"")</f>
        <v/>
      </c>
      <c r="C55" s="23" t="str">
        <f t="shared" si="0"/>
        <v/>
      </c>
      <c r="H55" s="15">
        <v>54</v>
      </c>
      <c r="I55" s="21" t="str">
        <f>IF('Ope. TES'!$E$2&gt;='Ope. TES'!H55,IF($H55=$E$2,$F$2+Resultados!$B$22,'Ope. TES'!$F$2)/((1+Resultados!$B$24)^(C56/365)),"")</f>
        <v/>
      </c>
    </row>
    <row r="56" spans="1:9" x14ac:dyDescent="0.3">
      <c r="A56" s="1">
        <v>54</v>
      </c>
      <c r="B56" s="16" t="str">
        <f>IF(A56&lt;=$E$2,COUPNCD(B55,Resultados!$D$20,1,3),"")</f>
        <v/>
      </c>
      <c r="C56" s="23" t="str">
        <f t="shared" si="0"/>
        <v/>
      </c>
      <c r="H56" s="15">
        <v>55</v>
      </c>
      <c r="I56" s="21" t="str">
        <f>IF('Ope. TES'!$E$2&gt;='Ope. TES'!H56,IF($H56=$E$2,$F$2+Resultados!$B$22,'Ope. TES'!$F$2)/((1+Resultados!$B$24)^(C57/365)),"")</f>
        <v/>
      </c>
    </row>
    <row r="57" spans="1:9" x14ac:dyDescent="0.3">
      <c r="A57" s="15">
        <v>55</v>
      </c>
      <c r="B57" s="16" t="str">
        <f>IF(A57&lt;=$E$2,COUPNCD(B56,Resultados!$D$20,1,3),"")</f>
        <v/>
      </c>
      <c r="C57" s="23" t="str">
        <f t="shared" si="0"/>
        <v/>
      </c>
      <c r="H57" s="15">
        <v>56</v>
      </c>
      <c r="I57" s="21" t="str">
        <f>IF('Ope. TES'!$E$2&gt;='Ope. TES'!H57,IF($H57=$E$2,$F$2+Resultados!$B$22,'Ope. TES'!$F$2)/((1+Resultados!$B$24)^(C58/365)),"")</f>
        <v/>
      </c>
    </row>
    <row r="58" spans="1:9" x14ac:dyDescent="0.3">
      <c r="A58" s="15">
        <v>56</v>
      </c>
      <c r="B58" s="16" t="str">
        <f>IF(A58&lt;=$E$2,COUPNCD(B57,Resultados!$D$20,1,3),"")</f>
        <v/>
      </c>
      <c r="C58" s="23" t="str">
        <f t="shared" si="0"/>
        <v/>
      </c>
      <c r="H58" s="15">
        <v>57</v>
      </c>
      <c r="I58" s="21" t="str">
        <f>IF('Ope. TES'!$E$2&gt;='Ope. TES'!H58,IF($H58=$E$2,$F$2+Resultados!$B$22,'Ope. TES'!$F$2)/((1+Resultados!$B$24)^(C59/365)),"")</f>
        <v/>
      </c>
    </row>
    <row r="59" spans="1:9" x14ac:dyDescent="0.3">
      <c r="A59" s="15">
        <v>57</v>
      </c>
      <c r="B59" s="16" t="str">
        <f>IF(A59&lt;=$E$2,COUPNCD(B58,Resultados!$D$20,1,3),"")</f>
        <v/>
      </c>
      <c r="C59" s="23" t="str">
        <f t="shared" si="0"/>
        <v/>
      </c>
      <c r="H59" s="15">
        <v>58</v>
      </c>
      <c r="I59" s="21" t="str">
        <f>IF('Ope. TES'!$E$2&gt;='Ope. TES'!H59,IF($H59=$E$2,$F$2+Resultados!$B$22,'Ope. TES'!$F$2)/((1+Resultados!$B$24)^(C60/365)),"")</f>
        <v/>
      </c>
    </row>
    <row r="60" spans="1:9" x14ac:dyDescent="0.3">
      <c r="A60" s="15">
        <v>58</v>
      </c>
      <c r="B60" s="16" t="str">
        <f>IF(A60&lt;=$E$2,COUPNCD(B59,Resultados!$D$20,1,3),"")</f>
        <v/>
      </c>
      <c r="C60" s="23" t="str">
        <f t="shared" si="0"/>
        <v/>
      </c>
      <c r="H60" s="15">
        <v>59</v>
      </c>
      <c r="I60" s="21" t="str">
        <f>IF('Ope. TES'!$E$2&gt;='Ope. TES'!H60,IF($H60=$E$2,$F$2+Resultados!$B$22,'Ope. TES'!$F$2)/((1+Resultados!$B$24)^(C61/365)),"")</f>
        <v/>
      </c>
    </row>
    <row r="61" spans="1:9" x14ac:dyDescent="0.3">
      <c r="A61" s="15">
        <v>59</v>
      </c>
      <c r="B61" s="16" t="str">
        <f>IF(A61&lt;=$E$2,COUPNCD(B60,Resultados!$D$20,1,3),"")</f>
        <v/>
      </c>
      <c r="C61" s="23" t="str">
        <f t="shared" si="0"/>
        <v/>
      </c>
      <c r="H61" s="15">
        <v>60</v>
      </c>
      <c r="I61" s="21" t="str">
        <f>IF('Ope. TES'!$E$2&gt;='Ope. TES'!H61,IF($H61=$E$2,$F$2+Resultados!$B$22,'Ope. TES'!$F$2)/((1+Resultados!$B$24)^(C62/365)),"")</f>
        <v/>
      </c>
    </row>
    <row r="62" spans="1:9" x14ac:dyDescent="0.3">
      <c r="A62" s="1">
        <v>60</v>
      </c>
      <c r="B62" s="16" t="str">
        <f>IF(A62&lt;=$E$2,COUPNCD(B61,Resultados!$D$20,1,3),"")</f>
        <v/>
      </c>
      <c r="C62" s="23" t="str">
        <f t="shared" si="0"/>
        <v/>
      </c>
      <c r="H62" s="15">
        <v>61</v>
      </c>
      <c r="I62" s="21" t="str">
        <f>IF('Ope. TES'!$E$2&gt;='Ope. TES'!H62,IF($H62=$E$2,$F$2+Resultados!$B$22,'Ope. TES'!$F$2)/((1+Resultados!$B$24)^(C63/365)),"")</f>
        <v/>
      </c>
    </row>
    <row r="63" spans="1:9" x14ac:dyDescent="0.3">
      <c r="A63" s="15">
        <v>61</v>
      </c>
      <c r="B63" s="16" t="str">
        <f>IF(A63&lt;=$E$2,COUPNCD(B62,Resultados!$D$20,1,3),"")</f>
        <v/>
      </c>
      <c r="C63" s="23" t="str">
        <f t="shared" si="0"/>
        <v/>
      </c>
      <c r="H63" s="15">
        <v>62</v>
      </c>
      <c r="I63" s="21" t="str">
        <f>IF('Ope. TES'!$E$2&gt;='Ope. TES'!H63,IF($H63=$E$2,$F$2+Resultados!$B$22,'Ope. TES'!$F$2)/((1+Resultados!$B$24)^(C64/365)),"")</f>
        <v/>
      </c>
    </row>
    <row r="64" spans="1:9" x14ac:dyDescent="0.3">
      <c r="A64" s="15">
        <v>62</v>
      </c>
      <c r="B64" s="16" t="str">
        <f>IF(A64&lt;=$E$2,COUPNCD(B63,Resultados!$D$20,1,3),"")</f>
        <v/>
      </c>
      <c r="C64" s="23" t="str">
        <f t="shared" si="0"/>
        <v/>
      </c>
      <c r="H64" s="15">
        <v>63</v>
      </c>
      <c r="I64" s="21" t="str">
        <f>IF('Ope. TES'!$E$2&gt;='Ope. TES'!H64,IF($H64=$E$2,$F$2+Resultados!$B$22,'Ope. TES'!$F$2)/((1+Resultados!$B$24)^(C65/365)),"")</f>
        <v/>
      </c>
    </row>
    <row r="65" spans="1:9" x14ac:dyDescent="0.3">
      <c r="A65" s="15">
        <v>63</v>
      </c>
      <c r="B65" s="16" t="str">
        <f>IF(A65&lt;=$E$2,COUPNCD(B64,Resultados!$D$20,1,3),"")</f>
        <v/>
      </c>
      <c r="C65" s="23" t="str">
        <f t="shared" si="0"/>
        <v/>
      </c>
      <c r="H65" s="15">
        <v>64</v>
      </c>
      <c r="I65" s="21" t="str">
        <f>IF('Ope. TES'!$E$2&gt;='Ope. TES'!H65,IF($H65=$E$2,$F$2+Resultados!$B$22,'Ope. TES'!$F$2)/((1+Resultados!$B$24)^(C66/365)),"")</f>
        <v/>
      </c>
    </row>
    <row r="66" spans="1:9" x14ac:dyDescent="0.3">
      <c r="A66" s="15">
        <v>64</v>
      </c>
      <c r="B66" s="16" t="str">
        <f>IF(A66&lt;=$E$2,COUPNCD(B65,Resultados!$D$20,1,3),"")</f>
        <v/>
      </c>
      <c r="C66" s="23" t="str">
        <f t="shared" si="0"/>
        <v/>
      </c>
      <c r="H66" s="15">
        <v>65</v>
      </c>
      <c r="I66" s="21" t="str">
        <f>IF('Ope. TES'!$E$2&gt;='Ope. TES'!H66,IF($H66=$E$2,$F$2+Resultados!$B$22,'Ope. TES'!$F$2)/((1+Resultados!$B$24)^(C67/365)),"")</f>
        <v/>
      </c>
    </row>
    <row r="67" spans="1:9" x14ac:dyDescent="0.3">
      <c r="A67" s="15">
        <v>65</v>
      </c>
      <c r="B67" s="16" t="str">
        <f>IF(A67&lt;=$E$2,COUPNCD(B66,Resultados!$D$20,1,3),"")</f>
        <v/>
      </c>
      <c r="C67" s="23" t="str">
        <f t="shared" si="0"/>
        <v/>
      </c>
      <c r="H67" s="15">
        <v>66</v>
      </c>
      <c r="I67" s="21" t="str">
        <f>IF('Ope. TES'!$E$2&gt;='Ope. TES'!H67,IF($H67=$E$2,$F$2+Resultados!$B$22,'Ope. TES'!$F$2)/((1+Resultados!$B$24)^(C68/365)),"")</f>
        <v/>
      </c>
    </row>
    <row r="68" spans="1:9" x14ac:dyDescent="0.3">
      <c r="A68" s="1">
        <v>66</v>
      </c>
      <c r="B68" s="16" t="str">
        <f>IF(A68&lt;=$E$2,COUPNCD(B67,Resultados!$D$20,1,3),"")</f>
        <v/>
      </c>
      <c r="C68" s="23" t="str">
        <f t="shared" si="0"/>
        <v/>
      </c>
      <c r="H68" s="15">
        <v>67</v>
      </c>
      <c r="I68" s="21" t="str">
        <f>IF('Ope. TES'!$E$2&gt;='Ope. TES'!H68,IF($H68=$E$2,$F$2+Resultados!$B$22,'Ope. TES'!$F$2)/((1+Resultados!$B$24)^(C69/365)),"")</f>
        <v/>
      </c>
    </row>
    <row r="69" spans="1:9" x14ac:dyDescent="0.3">
      <c r="A69" s="15">
        <v>67</v>
      </c>
      <c r="B69" s="16" t="str">
        <f>IF(A69&lt;=$E$2,COUPNCD(B68,Resultados!$D$20,1,3),"")</f>
        <v/>
      </c>
      <c r="C69" s="23" t="str">
        <f t="shared" ref="C69:C102" si="2">IF(A69&lt;=$E$2,C68+365,"")</f>
        <v/>
      </c>
      <c r="H69" s="15">
        <v>68</v>
      </c>
      <c r="I69" s="21" t="str">
        <f>IF('Ope. TES'!$E$2&gt;='Ope. TES'!H69,IF($H69=$E$2,$F$2+Resultados!$B$22,'Ope. TES'!$F$2)/((1+Resultados!$B$24)^(C70/365)),"")</f>
        <v/>
      </c>
    </row>
    <row r="70" spans="1:9" x14ac:dyDescent="0.3">
      <c r="A70" s="15">
        <v>68</v>
      </c>
      <c r="B70" s="16" t="str">
        <f>IF(A70&lt;=$E$2,COUPNCD(B69,Resultados!$D$20,1,3),"")</f>
        <v/>
      </c>
      <c r="C70" s="23" t="str">
        <f t="shared" si="2"/>
        <v/>
      </c>
      <c r="H70" s="15">
        <v>69</v>
      </c>
      <c r="I70" s="21" t="str">
        <f>IF('Ope. TES'!$E$2&gt;='Ope. TES'!H70,IF($H70=$E$2,$F$2+Resultados!$B$22,'Ope. TES'!$F$2)/((1+Resultados!$B$24)^(C71/365)),"")</f>
        <v/>
      </c>
    </row>
    <row r="71" spans="1:9" x14ac:dyDescent="0.3">
      <c r="A71" s="15">
        <v>69</v>
      </c>
      <c r="B71" s="16" t="str">
        <f>IF(A71&lt;=$E$2,COUPNCD(B70,Resultados!$D$20,1,3),"")</f>
        <v/>
      </c>
      <c r="C71" s="23" t="str">
        <f t="shared" si="2"/>
        <v/>
      </c>
      <c r="H71" s="15">
        <v>70</v>
      </c>
      <c r="I71" s="21" t="str">
        <f>IF('Ope. TES'!$E$2&gt;='Ope. TES'!H71,IF($H71=$E$2,$F$2+Resultados!$B$22,'Ope. TES'!$F$2)/((1+Resultados!$B$24)^(C72/365)),"")</f>
        <v/>
      </c>
    </row>
    <row r="72" spans="1:9" x14ac:dyDescent="0.3">
      <c r="A72" s="15">
        <v>70</v>
      </c>
      <c r="B72" s="16" t="str">
        <f>IF(A72&lt;=$E$2,COUPNCD(B71,Resultados!$D$20,1,3),"")</f>
        <v/>
      </c>
      <c r="C72" s="23" t="str">
        <f t="shared" si="2"/>
        <v/>
      </c>
      <c r="H72" s="15">
        <v>71</v>
      </c>
      <c r="I72" s="21" t="str">
        <f>IF('Ope. TES'!$E$2&gt;='Ope. TES'!H72,IF($H72=$E$2,$F$2+Resultados!$B$22,'Ope. TES'!$F$2)/((1+Resultados!$B$24)^(C73/365)),"")</f>
        <v/>
      </c>
    </row>
    <row r="73" spans="1:9" x14ac:dyDescent="0.3">
      <c r="A73" s="15">
        <v>71</v>
      </c>
      <c r="B73" s="16" t="str">
        <f>IF(A73&lt;=$E$2,COUPNCD(B72,Resultados!$D$20,1,3),"")</f>
        <v/>
      </c>
      <c r="C73" s="23" t="str">
        <f t="shared" si="2"/>
        <v/>
      </c>
      <c r="H73" s="15">
        <v>72</v>
      </c>
      <c r="I73" s="21" t="str">
        <f>IF('Ope. TES'!$E$2&gt;='Ope. TES'!H73,IF($H73=$E$2,$F$2+Resultados!$B$22,'Ope. TES'!$F$2)/((1+Resultados!$B$24)^(C74/365)),"")</f>
        <v/>
      </c>
    </row>
    <row r="74" spans="1:9" x14ac:dyDescent="0.3">
      <c r="A74" s="1">
        <v>72</v>
      </c>
      <c r="B74" s="16" t="str">
        <f>IF(A74&lt;=$E$2,COUPNCD(B73,Resultados!$D$20,1,3),"")</f>
        <v/>
      </c>
      <c r="C74" s="23" t="str">
        <f t="shared" si="2"/>
        <v/>
      </c>
      <c r="H74" s="15">
        <v>73</v>
      </c>
      <c r="I74" s="21" t="str">
        <f>IF('Ope. TES'!$E$2&gt;='Ope. TES'!H74,IF($H74=$E$2,$F$2+Resultados!$B$22,'Ope. TES'!$F$2)/((1+Resultados!$B$24)^(C75/365)),"")</f>
        <v/>
      </c>
    </row>
    <row r="75" spans="1:9" x14ac:dyDescent="0.3">
      <c r="A75" s="15">
        <v>73</v>
      </c>
      <c r="B75" s="16" t="str">
        <f>IF(A75&lt;=$E$2,COUPNCD(B74,Resultados!$D$20,1,3),"")</f>
        <v/>
      </c>
      <c r="C75" s="23" t="str">
        <f t="shared" si="2"/>
        <v/>
      </c>
      <c r="H75" s="15">
        <v>74</v>
      </c>
      <c r="I75" s="21" t="str">
        <f>IF('Ope. TES'!$E$2&gt;='Ope. TES'!H75,IF($H75=$E$2,$F$2+Resultados!$B$22,'Ope. TES'!$F$2)/((1+Resultados!$B$24)^(C76/365)),"")</f>
        <v/>
      </c>
    </row>
    <row r="76" spans="1:9" x14ac:dyDescent="0.3">
      <c r="A76" s="15">
        <v>74</v>
      </c>
      <c r="B76" s="16" t="str">
        <f>IF(A76&lt;=$E$2,COUPNCD(B75,Resultados!$D$20,1,3),"")</f>
        <v/>
      </c>
      <c r="C76" s="23" t="str">
        <f t="shared" si="2"/>
        <v/>
      </c>
      <c r="H76" s="15">
        <v>75</v>
      </c>
      <c r="I76" s="21" t="str">
        <f>IF('Ope. TES'!$E$2&gt;='Ope. TES'!H76,IF($H76=$E$2,$F$2+Resultados!$B$22,'Ope. TES'!$F$2)/((1+Resultados!$B$24)^(C77/365)),"")</f>
        <v/>
      </c>
    </row>
    <row r="77" spans="1:9" x14ac:dyDescent="0.3">
      <c r="A77" s="15">
        <v>75</v>
      </c>
      <c r="B77" s="16" t="str">
        <f>IF(A77&lt;=$E$2,COUPNCD(B76,Resultados!$D$20,1,3),"")</f>
        <v/>
      </c>
      <c r="C77" s="23" t="str">
        <f t="shared" si="2"/>
        <v/>
      </c>
      <c r="H77" s="15">
        <v>76</v>
      </c>
      <c r="I77" s="21" t="str">
        <f>IF('Ope. TES'!$E$2&gt;='Ope. TES'!H77,IF($H77=$E$2,$F$2+Resultados!$B$22,'Ope. TES'!$F$2)/((1+Resultados!$B$24)^(C78/365)),"")</f>
        <v/>
      </c>
    </row>
    <row r="78" spans="1:9" x14ac:dyDescent="0.3">
      <c r="A78" s="15">
        <v>76</v>
      </c>
      <c r="B78" s="16" t="str">
        <f>IF(A78&lt;=$E$2,COUPNCD(B77,Resultados!$D$20,1,3),"")</f>
        <v/>
      </c>
      <c r="C78" s="23" t="str">
        <f t="shared" si="2"/>
        <v/>
      </c>
      <c r="H78" s="15">
        <v>77</v>
      </c>
      <c r="I78" s="21" t="str">
        <f>IF('Ope. TES'!$E$2&gt;='Ope. TES'!H78,IF($H78=$E$2,$F$2+Resultados!$B$22,'Ope. TES'!$F$2)/((1+Resultados!$B$24)^(C79/365)),"")</f>
        <v/>
      </c>
    </row>
    <row r="79" spans="1:9" x14ac:dyDescent="0.3">
      <c r="A79" s="15">
        <v>77</v>
      </c>
      <c r="B79" s="16" t="str">
        <f>IF(A79&lt;=$E$2,COUPNCD(B78,Resultados!$D$20,1,3),"")</f>
        <v/>
      </c>
      <c r="C79" s="23" t="str">
        <f t="shared" si="2"/>
        <v/>
      </c>
      <c r="H79" s="15">
        <v>78</v>
      </c>
      <c r="I79" s="21" t="str">
        <f>IF('Ope. TES'!$E$2&gt;='Ope. TES'!H79,IF($H79=$E$2,$F$2+Resultados!$B$22,'Ope. TES'!$F$2)/((1+Resultados!$B$24)^(C80/365)),"")</f>
        <v/>
      </c>
    </row>
    <row r="80" spans="1:9" x14ac:dyDescent="0.3">
      <c r="A80" s="1">
        <v>78</v>
      </c>
      <c r="B80" s="16" t="str">
        <f>IF(A80&lt;=$E$2,COUPNCD(B79,Resultados!$D$20,1,3),"")</f>
        <v/>
      </c>
      <c r="C80" s="23" t="str">
        <f t="shared" si="2"/>
        <v/>
      </c>
      <c r="H80" s="15">
        <v>79</v>
      </c>
      <c r="I80" s="21" t="str">
        <f>IF('Ope. TES'!$E$2&gt;='Ope. TES'!H80,IF($H80=$E$2,$F$2+Resultados!$B$22,'Ope. TES'!$F$2)/((1+Resultados!$B$24)^(C81/365)),"")</f>
        <v/>
      </c>
    </row>
    <row r="81" spans="1:9" x14ac:dyDescent="0.3">
      <c r="A81" s="15">
        <v>79</v>
      </c>
      <c r="B81" s="16" t="str">
        <f>IF(A81&lt;=$E$2,COUPNCD(B80,Resultados!$D$20,1,3),"")</f>
        <v/>
      </c>
      <c r="C81" s="23" t="str">
        <f t="shared" si="2"/>
        <v/>
      </c>
      <c r="H81" s="15">
        <v>80</v>
      </c>
      <c r="I81" s="21" t="str">
        <f>IF('Ope. TES'!$E$2&gt;='Ope. TES'!H81,IF($H81=$E$2,$F$2+Resultados!$B$22,'Ope. TES'!$F$2)/((1+Resultados!$B$24)^(C82/365)),"")</f>
        <v/>
      </c>
    </row>
    <row r="82" spans="1:9" x14ac:dyDescent="0.3">
      <c r="A82" s="15">
        <v>80</v>
      </c>
      <c r="B82" s="16" t="str">
        <f>IF(A82&lt;=$E$2,COUPNCD(B81,Resultados!$D$20,1,3),"")</f>
        <v/>
      </c>
      <c r="C82" s="23" t="str">
        <f t="shared" si="2"/>
        <v/>
      </c>
      <c r="H82" s="15">
        <v>81</v>
      </c>
      <c r="I82" s="21" t="str">
        <f>IF('Ope. TES'!$E$2&gt;='Ope. TES'!H82,IF($H82=$E$2,$F$2+Resultados!$B$22,'Ope. TES'!$F$2)/((1+Resultados!$B$24)^(C83/365)),"")</f>
        <v/>
      </c>
    </row>
    <row r="83" spans="1:9" x14ac:dyDescent="0.3">
      <c r="A83" s="15">
        <v>81</v>
      </c>
      <c r="B83" s="16" t="str">
        <f>IF(A83&lt;=$E$2,COUPNCD(B82,Resultados!$D$20,1,3),"")</f>
        <v/>
      </c>
      <c r="C83" s="23" t="str">
        <f t="shared" si="2"/>
        <v/>
      </c>
      <c r="H83" s="15">
        <v>82</v>
      </c>
      <c r="I83" s="21" t="str">
        <f>IF('Ope. TES'!$E$2&gt;='Ope. TES'!H83,IF($H83=$E$2,$F$2+Resultados!$B$22,'Ope. TES'!$F$2)/((1+Resultados!$B$24)^(C84/365)),"")</f>
        <v/>
      </c>
    </row>
    <row r="84" spans="1:9" x14ac:dyDescent="0.3">
      <c r="A84" s="15">
        <v>82</v>
      </c>
      <c r="B84" s="16" t="str">
        <f>IF(A84&lt;=$E$2,COUPNCD(B83,Resultados!$D$20,1,3),"")</f>
        <v/>
      </c>
      <c r="C84" s="23" t="str">
        <f t="shared" si="2"/>
        <v/>
      </c>
      <c r="H84" s="15">
        <v>83</v>
      </c>
      <c r="I84" s="21" t="str">
        <f>IF('Ope. TES'!$E$2&gt;='Ope. TES'!H84,IF($H84=$E$2,$F$2+Resultados!$B$22,'Ope. TES'!$F$2)/((1+Resultados!$B$24)^(C85/365)),"")</f>
        <v/>
      </c>
    </row>
    <row r="85" spans="1:9" x14ac:dyDescent="0.3">
      <c r="A85" s="15">
        <v>83</v>
      </c>
      <c r="B85" s="16" t="str">
        <f>IF(A85&lt;=$E$2,COUPNCD(B84,Resultados!$D$20,1,3),"")</f>
        <v/>
      </c>
      <c r="C85" s="23" t="str">
        <f t="shared" si="2"/>
        <v/>
      </c>
      <c r="H85" s="15">
        <v>84</v>
      </c>
      <c r="I85" s="21" t="str">
        <f>IF('Ope. TES'!$E$2&gt;='Ope. TES'!H85,IF($H85=$E$2,$F$2+Resultados!$B$22,'Ope. TES'!$F$2)/((1+Resultados!$B$24)^(C86/365)),"")</f>
        <v/>
      </c>
    </row>
    <row r="86" spans="1:9" x14ac:dyDescent="0.3">
      <c r="A86" s="1">
        <v>84</v>
      </c>
      <c r="B86" s="16" t="str">
        <f>IF(A86&lt;=$E$2,COUPNCD(B85,Resultados!$D$20,1,3),"")</f>
        <v/>
      </c>
      <c r="C86" s="23" t="str">
        <f t="shared" si="2"/>
        <v/>
      </c>
      <c r="H86" s="15">
        <v>85</v>
      </c>
      <c r="I86" s="21" t="str">
        <f>IF('Ope. TES'!$E$2&gt;='Ope. TES'!H86,IF($H86=$E$2,$F$2+Resultados!$B$22,'Ope. TES'!$F$2)/((1+Resultados!$B$24)^(C87/365)),"")</f>
        <v/>
      </c>
    </row>
    <row r="87" spans="1:9" x14ac:dyDescent="0.3">
      <c r="A87" s="15">
        <v>85</v>
      </c>
      <c r="B87" s="16" t="str">
        <f>IF(A87&lt;=$E$2,COUPNCD(B86,Resultados!$D$20,1,3),"")</f>
        <v/>
      </c>
      <c r="C87" s="23" t="str">
        <f t="shared" si="2"/>
        <v/>
      </c>
      <c r="H87" s="15">
        <v>86</v>
      </c>
      <c r="I87" s="21" t="str">
        <f>IF('Ope. TES'!$E$2&gt;='Ope. TES'!H87,IF($H87=$E$2,$F$2+Resultados!$B$22,'Ope. TES'!$F$2)/((1+Resultados!$B$24)^(C88/365)),"")</f>
        <v/>
      </c>
    </row>
    <row r="88" spans="1:9" x14ac:dyDescent="0.3">
      <c r="A88" s="15">
        <v>86</v>
      </c>
      <c r="B88" s="16" t="str">
        <f>IF(A88&lt;=$E$2,COUPNCD(B87,Resultados!$D$20,1,3),"")</f>
        <v/>
      </c>
      <c r="C88" s="23" t="str">
        <f t="shared" si="2"/>
        <v/>
      </c>
      <c r="H88" s="15">
        <v>87</v>
      </c>
      <c r="I88" s="21" t="str">
        <f>IF('Ope. TES'!$E$2&gt;='Ope. TES'!H88,IF($H88=$E$2,$F$2+Resultados!$B$22,'Ope. TES'!$F$2)/((1+Resultados!$B$24)^(C89/365)),"")</f>
        <v/>
      </c>
    </row>
    <row r="89" spans="1:9" x14ac:dyDescent="0.3">
      <c r="A89" s="15">
        <v>87</v>
      </c>
      <c r="B89" s="16" t="str">
        <f>IF(A89&lt;=$E$2,COUPNCD(B88,Resultados!$D$20,1,3),"")</f>
        <v/>
      </c>
      <c r="C89" s="23" t="str">
        <f t="shared" si="2"/>
        <v/>
      </c>
      <c r="H89" s="15">
        <v>88</v>
      </c>
      <c r="I89" s="21" t="str">
        <f>IF('Ope. TES'!$E$2&gt;='Ope. TES'!H89,IF($H89=$E$2,$F$2+Resultados!$B$22,'Ope. TES'!$F$2)/((1+Resultados!$B$24)^(C90/365)),"")</f>
        <v/>
      </c>
    </row>
    <row r="90" spans="1:9" x14ac:dyDescent="0.3">
      <c r="A90" s="15">
        <v>88</v>
      </c>
      <c r="B90" s="16" t="str">
        <f>IF(A90&lt;=$E$2,COUPNCD(B89,Resultados!$D$20,1,3),"")</f>
        <v/>
      </c>
      <c r="C90" s="23" t="str">
        <f t="shared" si="2"/>
        <v/>
      </c>
      <c r="H90" s="15">
        <v>89</v>
      </c>
      <c r="I90" s="21" t="str">
        <f>IF('Ope. TES'!$E$2&gt;='Ope. TES'!H90,IF($H90=$E$2,$F$2+Resultados!$B$22,'Ope. TES'!$F$2)/((1+Resultados!$B$24)^(C91/365)),"")</f>
        <v/>
      </c>
    </row>
    <row r="91" spans="1:9" x14ac:dyDescent="0.3">
      <c r="A91" s="15">
        <v>89</v>
      </c>
      <c r="B91" s="16" t="str">
        <f>IF(A91&lt;=$E$2,COUPNCD(B90,Resultados!$D$20,1,3),"")</f>
        <v/>
      </c>
      <c r="C91" s="23" t="str">
        <f t="shared" si="2"/>
        <v/>
      </c>
      <c r="H91" s="15">
        <v>90</v>
      </c>
      <c r="I91" s="21" t="str">
        <f>IF('Ope. TES'!$E$2&gt;='Ope. TES'!H91,IF($H91=$E$2,$F$2+Resultados!$B$22,'Ope. TES'!$F$2)/((1+Resultados!$B$24)^(C92/365)),"")</f>
        <v/>
      </c>
    </row>
    <row r="92" spans="1:9" x14ac:dyDescent="0.3">
      <c r="A92" s="1">
        <v>90</v>
      </c>
      <c r="B92" s="16" t="str">
        <f>IF(A92&lt;=$E$2,COUPNCD(B91,Resultados!$D$20,1,3),"")</f>
        <v/>
      </c>
      <c r="C92" s="23" t="str">
        <f t="shared" si="2"/>
        <v/>
      </c>
      <c r="H92" s="15">
        <v>91</v>
      </c>
      <c r="I92" s="21" t="str">
        <f>IF('Ope. TES'!$E$2&gt;='Ope. TES'!H92,IF($H92=$E$2,$F$2+Resultados!$B$22,'Ope. TES'!$F$2)/((1+Resultados!$B$24)^(C93/365)),"")</f>
        <v/>
      </c>
    </row>
    <row r="93" spans="1:9" x14ac:dyDescent="0.3">
      <c r="A93" s="15">
        <v>91</v>
      </c>
      <c r="B93" s="16" t="str">
        <f>IF(A93&lt;=$E$2,COUPNCD(B92,Resultados!$D$20,1,3),"")</f>
        <v/>
      </c>
      <c r="C93" s="23" t="str">
        <f t="shared" si="2"/>
        <v/>
      </c>
      <c r="H93" s="15">
        <v>92</v>
      </c>
      <c r="I93" s="21" t="str">
        <f>IF('Ope. TES'!$E$2&gt;='Ope. TES'!H93,IF($H93=$E$2,$F$2+Resultados!$B$22,'Ope. TES'!$F$2)/((1+Resultados!$B$24)^(C94/365)),"")</f>
        <v/>
      </c>
    </row>
    <row r="94" spans="1:9" x14ac:dyDescent="0.3">
      <c r="A94" s="15">
        <v>92</v>
      </c>
      <c r="B94" s="16" t="str">
        <f>IF(A94&lt;=$E$2,COUPNCD(B93,Resultados!$D$20,1,3),"")</f>
        <v/>
      </c>
      <c r="C94" s="23" t="str">
        <f t="shared" si="2"/>
        <v/>
      </c>
      <c r="H94" s="15">
        <v>93</v>
      </c>
      <c r="I94" s="21" t="str">
        <f>IF('Ope. TES'!$E$2&gt;='Ope. TES'!H94,IF($H94=$E$2,$F$2+Resultados!$B$22,'Ope. TES'!$F$2)/((1+Resultados!$B$24)^(C95/365)),"")</f>
        <v/>
      </c>
    </row>
    <row r="95" spans="1:9" x14ac:dyDescent="0.3">
      <c r="A95" s="15">
        <v>93</v>
      </c>
      <c r="B95" s="16" t="str">
        <f>IF(A95&lt;=$E$2,COUPNCD(B94,Resultados!$D$20,1,3),"")</f>
        <v/>
      </c>
      <c r="C95" s="23" t="str">
        <f t="shared" si="2"/>
        <v/>
      </c>
      <c r="H95" s="15">
        <v>94</v>
      </c>
      <c r="I95" s="21" t="str">
        <f>IF('Ope. TES'!$E$2&gt;='Ope. TES'!H95,IF($H95=$E$2,$F$2+Resultados!$B$22,'Ope. TES'!$F$2)/((1+Resultados!$B$24)^(C96/365)),"")</f>
        <v/>
      </c>
    </row>
    <row r="96" spans="1:9" x14ac:dyDescent="0.3">
      <c r="A96" s="15">
        <v>94</v>
      </c>
      <c r="B96" s="16" t="str">
        <f>IF(A96&lt;=$E$2,COUPNCD(B95,Resultados!$D$20,1,3),"")</f>
        <v/>
      </c>
      <c r="C96" s="23" t="str">
        <f t="shared" si="2"/>
        <v/>
      </c>
      <c r="H96" s="15">
        <v>95</v>
      </c>
      <c r="I96" s="21" t="str">
        <f>IF('Ope. TES'!$E$2&gt;='Ope. TES'!H96,IF($H96=$E$2,$F$2+Resultados!$B$22,'Ope. TES'!$F$2)/((1+Resultados!$B$24)^(C97/365)),"")</f>
        <v/>
      </c>
    </row>
    <row r="97" spans="1:9" x14ac:dyDescent="0.3">
      <c r="A97" s="15">
        <v>95</v>
      </c>
      <c r="B97" s="16" t="str">
        <f>IF(A97&lt;=$E$2,COUPNCD(B96,Resultados!$D$20,1,3),"")</f>
        <v/>
      </c>
      <c r="C97" s="23" t="str">
        <f t="shared" si="2"/>
        <v/>
      </c>
      <c r="H97" s="15">
        <v>96</v>
      </c>
      <c r="I97" s="21" t="str">
        <f>IF('Ope. TES'!$E$2&gt;='Ope. TES'!H97,IF($H97=$E$2,$F$2+Resultados!$B$22,'Ope. TES'!$F$2)/((1+Resultados!$B$24)^(C98/365)),"")</f>
        <v/>
      </c>
    </row>
    <row r="98" spans="1:9" x14ac:dyDescent="0.3">
      <c r="A98" s="1">
        <v>96</v>
      </c>
      <c r="B98" s="16" t="str">
        <f>IF(A98&lt;=$E$2,COUPNCD(B97,Resultados!$D$20,1,3),"")</f>
        <v/>
      </c>
      <c r="C98" s="23" t="str">
        <f t="shared" si="2"/>
        <v/>
      </c>
      <c r="H98" s="15">
        <v>97</v>
      </c>
      <c r="I98" s="21" t="str">
        <f>IF('Ope. TES'!$E$2&gt;='Ope. TES'!H98,IF($H98=$E$2,$F$2+Resultados!$B$22,'Ope. TES'!$F$2)/((1+Resultados!$B$24)^(C99/365)),"")</f>
        <v/>
      </c>
    </row>
    <row r="99" spans="1:9" x14ac:dyDescent="0.3">
      <c r="A99" s="15">
        <v>97</v>
      </c>
      <c r="B99" s="16" t="str">
        <f>IF(A99&lt;=$E$2,COUPNCD(B98,Resultados!$D$20,1,3),"")</f>
        <v/>
      </c>
      <c r="C99" s="23" t="str">
        <f t="shared" si="2"/>
        <v/>
      </c>
      <c r="H99" s="15">
        <v>98</v>
      </c>
      <c r="I99" s="21" t="str">
        <f>IF('Ope. TES'!$E$2&gt;='Ope. TES'!H99,IF($H99=$E$2,$F$2+Resultados!$B$22,'Ope. TES'!$F$2)/((1+Resultados!$B$24)^(C100/365)),"")</f>
        <v/>
      </c>
    </row>
    <row r="100" spans="1:9" x14ac:dyDescent="0.3">
      <c r="A100" s="15">
        <v>98</v>
      </c>
      <c r="B100" s="16" t="str">
        <f>IF(A100&lt;=$E$2,COUPNCD(B99,Resultados!$D$20,1,3),"")</f>
        <v/>
      </c>
      <c r="C100" s="23" t="str">
        <f t="shared" si="2"/>
        <v/>
      </c>
      <c r="H100" s="15">
        <v>99</v>
      </c>
      <c r="I100" s="21" t="str">
        <f>IF('Ope. TES'!$E$2&gt;='Ope. TES'!H100,IF($H100=$E$2,$F$2+Resultados!$B$22,'Ope. TES'!$F$2)/((1+Resultados!$B$24)^(C101/365)),"")</f>
        <v/>
      </c>
    </row>
    <row r="101" spans="1:9" ht="15" thickBot="1" x14ac:dyDescent="0.35">
      <c r="A101" s="15">
        <v>99</v>
      </c>
      <c r="B101" s="16" t="str">
        <f>IF(A101&lt;=$E$2,COUPNCD(B100,Resultados!$D$20,1,3),"")</f>
        <v/>
      </c>
      <c r="C101" s="23" t="str">
        <f t="shared" si="2"/>
        <v/>
      </c>
      <c r="H101" s="17">
        <v>100</v>
      </c>
      <c r="I101" s="22" t="str">
        <f>IF('Ope. TES'!$E$2&gt;='Ope. TES'!H101,IF($H101=$E$2,$F$2+Resultados!$B$22,'Ope. TES'!$F$2)/((1+Resultados!$B$24)^(C102/365)),"")</f>
        <v/>
      </c>
    </row>
    <row r="102" spans="1:9" ht="15" thickBot="1" x14ac:dyDescent="0.35">
      <c r="A102" s="17">
        <v>100</v>
      </c>
      <c r="B102" s="18" t="str">
        <f>IF(A102&lt;=$E$2,COUPNCD(B101,Resultados!$D$20,1,3),"")</f>
        <v/>
      </c>
      <c r="C102" s="24" t="str">
        <f t="shared" si="2"/>
        <v/>
      </c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8AA313-61D7-449F-A0C7-72F24184EA45}">
  <dimension ref="A1:I5"/>
  <sheetViews>
    <sheetView showGridLines="0" workbookViewId="0">
      <selection activeCell="E3" sqref="E3"/>
    </sheetView>
  </sheetViews>
  <sheetFormatPr defaultRowHeight="14.4" x14ac:dyDescent="0.3"/>
  <cols>
    <col min="1" max="3" width="8.88671875" style="2"/>
    <col min="4" max="4" width="29.21875" style="2" bestFit="1" customWidth="1"/>
    <col min="5" max="6" width="8.88671875" style="2"/>
    <col min="7" max="7" width="19.77734375" style="2" bestFit="1" customWidth="1"/>
    <col min="8" max="8" width="8.88671875" style="2"/>
    <col min="9" max="9" width="17.21875" style="2" bestFit="1" customWidth="1"/>
    <col min="10" max="16384" width="8.88671875" style="2"/>
  </cols>
  <sheetData>
    <row r="1" spans="1:9" ht="15" thickBot="1" x14ac:dyDescent="0.35">
      <c r="A1" s="78" t="s">
        <v>34</v>
      </c>
      <c r="B1" s="78"/>
      <c r="D1" s="78" t="s">
        <v>35</v>
      </c>
      <c r="E1" s="78"/>
      <c r="G1" s="43" t="s">
        <v>42</v>
      </c>
      <c r="I1" s="43" t="s">
        <v>41</v>
      </c>
    </row>
    <row r="2" spans="1:9" x14ac:dyDescent="0.3">
      <c r="A2" s="2">
        <f>YEAR(Resultados!G20)</f>
        <v>2015</v>
      </c>
      <c r="B2" s="2" t="b">
        <f>IF(DATE(A2+1,1,1)-DATE(A2,1,1)=366,TRUE,FALSE)</f>
        <v>0</v>
      </c>
      <c r="D2" s="2" t="s">
        <v>36</v>
      </c>
      <c r="E2" s="2">
        <f>IF(AND(B2=TRUE,B3=TRUE,B5=TRUE),(COUPDAYSNC(Resultados!F20,Resultados!G20,1,3))-1,(COUPDAYSNC(Resultados!F20,Resultados!G20,1,3)))</f>
        <v>235</v>
      </c>
      <c r="G2" s="12">
        <f>(Resultados!F23*(1+Resultados!H20)^(E2/365))</f>
        <v>3881791490.5293717</v>
      </c>
      <c r="I2" s="12">
        <f>G2-G5</f>
        <v>3627888440.4919887</v>
      </c>
    </row>
    <row r="3" spans="1:9" x14ac:dyDescent="0.3">
      <c r="A3" s="11">
        <f>MONTH(Resultados!G20)</f>
        <v>6</v>
      </c>
      <c r="B3" s="11" t="b">
        <f>IF(A3&gt;=2,TRUE,FALSE)</f>
        <v>1</v>
      </c>
      <c r="D3" s="11" t="s">
        <v>37</v>
      </c>
      <c r="E3" s="11">
        <f>IF('Ope. TES'!B3&lt;=Resultados!G20,COUPDAYSNC('Ope. TES'!B3,Resultados!G20,1,3),"")</f>
        <v>5</v>
      </c>
    </row>
    <row r="4" spans="1:9" ht="15" thickBot="1" x14ac:dyDescent="0.35">
      <c r="A4" s="11">
        <f>DAY(Resultados!G20)</f>
        <v>20</v>
      </c>
      <c r="B4" s="11" t="b">
        <f>IF(AND(A3=2,A4&lt;=29),TRUE,FALSE)</f>
        <v>0</v>
      </c>
      <c r="D4" s="11" t="s">
        <v>38</v>
      </c>
      <c r="E4" s="11" t="str">
        <f>IF(Resultados!F20&lt;&gt;Resultados!B25,COUPDAYSNC(Resultados!B25,Resultados!F20,1,3),"")</f>
        <v/>
      </c>
      <c r="G4" s="43" t="s">
        <v>40</v>
      </c>
    </row>
    <row r="5" spans="1:9" ht="15" thickBot="1" x14ac:dyDescent="0.35">
      <c r="A5" s="79" t="b">
        <f>IF(Resultados!G20&gt;29/2/(YEAR(Resultados!G20)),TRUE,FALSE)</f>
        <v>1</v>
      </c>
      <c r="B5" s="79"/>
      <c r="D5" s="70" t="s">
        <v>39</v>
      </c>
      <c r="E5" s="69">
        <f>IF('Ope. TES'!B3-'Ope. TES'!B2=366,(COUPDAYSNC(Resultados!G20,Resultados!D20,1,3)-1),(COUPDAYSNC(Resultados!G20,Resultados!D20,1,3)))</f>
        <v>361</v>
      </c>
      <c r="G5" s="12">
        <f>IF(Resultados!A28&gt;=2,(Resultados!B28*((1+Resultados!H20)^(E3/365))),0)</f>
        <v>253903050.03738323</v>
      </c>
    </row>
  </sheetData>
  <mergeCells count="3">
    <mergeCell ref="A1:B1"/>
    <mergeCell ref="A5:B5"/>
    <mergeCell ref="D1:E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Resultados</vt:lpstr>
      <vt:lpstr>Ope. TES Vigentes</vt:lpstr>
      <vt:lpstr>Ope. TES</vt:lpstr>
      <vt:lpstr>Ope. Simultánea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Oscar Nicolás Troncoso Morales</dc:creator>
  <cp:lastModifiedBy>Oscar Nicolás Troncoso Morales</cp:lastModifiedBy>
  <dcterms:created xsi:type="dcterms:W3CDTF">2021-03-30T00:37:18Z</dcterms:created>
  <dcterms:modified xsi:type="dcterms:W3CDTF">2021-04-22T03:26:04Z</dcterms:modified>
</cp:coreProperties>
</file>