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ink/ink1.xml" ContentType="application/inkml+xml"/>
  <Override PartName="/xl/drawings/drawing3.xml" ContentType="application/vnd.openxmlformats-officedocument.drawing+xml"/>
  <Override PartName="/xl/ctrlProps/ctrlProp1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scar\Desktop\University\Cuarto Semestre\Mercado de Capitales\"/>
    </mc:Choice>
  </mc:AlternateContent>
  <xr:revisionPtr revIDLastSave="0" documentId="13_ncr:1_{BBAB83C9-66B4-457C-91F8-FAC8C0110590}" xr6:coauthVersionLast="47" xr6:coauthVersionMax="47" xr10:uidLastSave="{00000000-0000-0000-0000-000000000000}"/>
  <bookViews>
    <workbookView xWindow="-108" yWindow="-108" windowWidth="23256" windowHeight="12456" xr2:uid="{D9C90427-E571-4155-9B8C-4E5CBFAB8809}"/>
  </bookViews>
  <sheets>
    <sheet name="Sheet1" sheetId="1" r:id="rId1"/>
    <sheet name="Optimization" sheetId="2" r:id="rId2"/>
    <sheet name="Sheet3" sheetId="3" r:id="rId3"/>
    <sheet name="N Assets" sheetId="4" r:id="rId4"/>
  </sheets>
  <definedNames>
    <definedName name="solver_adj" localSheetId="3" hidden="1">'N Assets'!$E$13:$H$13</definedName>
    <definedName name="solver_adj" localSheetId="1" hidden="1">Optimization!$B$10:$D$10</definedName>
    <definedName name="solver_adj" localSheetId="2" hidden="1">Sheet3!$E$6:$F$6</definedName>
    <definedName name="solver_cvg" localSheetId="3" hidden="1">0.0001</definedName>
    <definedName name="solver_cvg" localSheetId="1" hidden="1">0.0001</definedName>
    <definedName name="solver_cvg" localSheetId="2" hidden="1">0.0001</definedName>
    <definedName name="solver_drv" localSheetId="3" hidden="1">1</definedName>
    <definedName name="solver_drv" localSheetId="1" hidden="1">2</definedName>
    <definedName name="solver_drv" localSheetId="2" hidden="1">1</definedName>
    <definedName name="solver_eng" localSheetId="3" hidden="1">1</definedName>
    <definedName name="solver_eng" localSheetId="1" hidden="1">1</definedName>
    <definedName name="solver_eng" localSheetId="2" hidden="1">1</definedName>
    <definedName name="solver_est" localSheetId="3" hidden="1">1</definedName>
    <definedName name="solver_est" localSheetId="1" hidden="1">1</definedName>
    <definedName name="solver_est" localSheetId="2" hidden="1">1</definedName>
    <definedName name="solver_itr" localSheetId="3" hidden="1">2147483647</definedName>
    <definedName name="solver_itr" localSheetId="1" hidden="1">2147483647</definedName>
    <definedName name="solver_itr" localSheetId="2" hidden="1">2147483647</definedName>
    <definedName name="solver_lhs1" localSheetId="3" hidden="1">'N Assets'!$D$13</definedName>
    <definedName name="solver_lhs1" localSheetId="1" hidden="1">Optimization!$E$10</definedName>
    <definedName name="solver_lhs1" localSheetId="2" hidden="1">Sheet3!$G$6</definedName>
    <definedName name="solver_lhs10" localSheetId="3" hidden="1">'N Assets'!$D$13</definedName>
    <definedName name="solver_lhs11" localSheetId="3" hidden="1">'N Assets'!$D$13</definedName>
    <definedName name="solver_lhs12" localSheetId="3" hidden="1">'N Assets'!$D$13</definedName>
    <definedName name="solver_lhs13" localSheetId="3" hidden="1">'N Assets'!$D$13</definedName>
    <definedName name="solver_lhs14" localSheetId="3" hidden="1">'N Assets'!$D$13</definedName>
    <definedName name="solver_lhs15" localSheetId="3" hidden="1">'N Assets'!$D$13</definedName>
    <definedName name="solver_lhs16" localSheetId="3" hidden="1">'N Assets'!$D$13</definedName>
    <definedName name="solver_lhs17" localSheetId="3" hidden="1">'N Assets'!$D$13</definedName>
    <definedName name="solver_lhs18" localSheetId="3" hidden="1">'N Assets'!$D$13</definedName>
    <definedName name="solver_lhs19" localSheetId="3" hidden="1">'N Assets'!$D$13</definedName>
    <definedName name="solver_lhs2" localSheetId="3" hidden="1">'N Assets'!$D$13</definedName>
    <definedName name="solver_lhs20" localSheetId="3" hidden="1">'N Assets'!$D$13</definedName>
    <definedName name="solver_lhs21" localSheetId="3" hidden="1">'N Assets'!$D$13</definedName>
    <definedName name="solver_lhs22" localSheetId="3" hidden="1">'N Assets'!$D$13</definedName>
    <definedName name="solver_lhs23" localSheetId="3" hidden="1">'N Assets'!$D$13</definedName>
    <definedName name="solver_lhs24" localSheetId="3" hidden="1">'N Assets'!$D$13</definedName>
    <definedName name="solver_lhs25" localSheetId="3" hidden="1">'N Assets'!$D$13</definedName>
    <definedName name="solver_lhs26" localSheetId="3" hidden="1">'N Assets'!$D$13</definedName>
    <definedName name="solver_lhs27" localSheetId="3" hidden="1">'N Assets'!$D$13</definedName>
    <definedName name="solver_lhs28" localSheetId="3" hidden="1">'N Assets'!$D$13</definedName>
    <definedName name="solver_lhs29" localSheetId="3" hidden="1">'N Assets'!$D$13</definedName>
    <definedName name="solver_lhs3" localSheetId="3" hidden="1">'N Assets'!$D$13</definedName>
    <definedName name="solver_lhs30" localSheetId="3" hidden="1">'N Assets'!$D$13</definedName>
    <definedName name="solver_lhs31" localSheetId="3" hidden="1">'N Assets'!$D$13</definedName>
    <definedName name="solver_lhs32" localSheetId="3" hidden="1">'N Assets'!$D$13</definedName>
    <definedName name="solver_lhs33" localSheetId="3" hidden="1">'N Assets'!$D$13</definedName>
    <definedName name="solver_lhs34" localSheetId="3" hidden="1">'N Assets'!$D$13</definedName>
    <definedName name="solver_lhs35" localSheetId="3" hidden="1">'N Assets'!$D$13</definedName>
    <definedName name="solver_lhs36" localSheetId="3" hidden="1">'N Assets'!$D$13</definedName>
    <definedName name="solver_lhs37" localSheetId="3" hidden="1">'N Assets'!$D$13</definedName>
    <definedName name="solver_lhs38" localSheetId="3" hidden="1">'N Assets'!$J$13</definedName>
    <definedName name="solver_lhs39" localSheetId="3" hidden="1">'N Assets'!$D$13</definedName>
    <definedName name="solver_lhs4" localSheetId="3" hidden="1">'N Assets'!$D$13</definedName>
    <definedName name="solver_lhs40" localSheetId="3" hidden="1">'N Assets'!$J$13</definedName>
    <definedName name="solver_lhs41" localSheetId="3" hidden="1">'N Assets'!$J$13</definedName>
    <definedName name="solver_lhs42" localSheetId="3" hidden="1">'N Assets'!$J$13</definedName>
    <definedName name="solver_lhs43" localSheetId="3" hidden="1">'N Assets'!$J$13</definedName>
    <definedName name="solver_lhs44" localSheetId="3" hidden="1">'N Assets'!$J$13</definedName>
    <definedName name="solver_lhs45" localSheetId="3" hidden="1">'N Assets'!$J$13</definedName>
    <definedName name="solver_lhs46" localSheetId="3" hidden="1">'N Assets'!$J$13</definedName>
    <definedName name="solver_lhs47" localSheetId="3" hidden="1">'N Assets'!$J$13</definedName>
    <definedName name="solver_lhs48" localSheetId="3" hidden="1">'N Assets'!$J$13</definedName>
    <definedName name="solver_lhs49" localSheetId="3" hidden="1">'N Assets'!$J$13</definedName>
    <definedName name="solver_lhs5" localSheetId="3" hidden="1">'N Assets'!$D$13</definedName>
    <definedName name="solver_lhs50" localSheetId="3" hidden="1">'N Assets'!$J$13</definedName>
    <definedName name="solver_lhs51" localSheetId="3" hidden="1">'N Assets'!$J$13</definedName>
    <definedName name="solver_lhs52" localSheetId="3" hidden="1">'N Assets'!$J$13</definedName>
    <definedName name="solver_lhs53" localSheetId="3" hidden="1">'N Assets'!$J$13</definedName>
    <definedName name="solver_lhs54" localSheetId="3" hidden="1">'N Assets'!$J$13</definedName>
    <definedName name="solver_lhs55" localSheetId="3" hidden="1">'N Assets'!$J$13</definedName>
    <definedName name="solver_lhs56" localSheetId="3" hidden="1">'N Assets'!$J$13</definedName>
    <definedName name="solver_lhs57" localSheetId="3" hidden="1">'N Assets'!$J$13</definedName>
    <definedName name="solver_lhs58" localSheetId="3" hidden="1">'N Assets'!$J$13</definedName>
    <definedName name="solver_lhs59" localSheetId="3" hidden="1">'N Assets'!$J$13</definedName>
    <definedName name="solver_lhs6" localSheetId="3" hidden="1">'N Assets'!$D$13</definedName>
    <definedName name="solver_lhs60" localSheetId="3" hidden="1">'N Assets'!$J$13</definedName>
    <definedName name="solver_lhs61" localSheetId="3" hidden="1">'N Assets'!$J$13</definedName>
    <definedName name="solver_lhs62" localSheetId="3" hidden="1">'N Assets'!$J$13</definedName>
    <definedName name="solver_lhs63" localSheetId="3" hidden="1">'N Assets'!$J$13</definedName>
    <definedName name="solver_lhs64" localSheetId="3" hidden="1">'N Assets'!$J$13</definedName>
    <definedName name="solver_lhs65" localSheetId="3" hidden="1">'N Assets'!$J$13</definedName>
    <definedName name="solver_lhs66" localSheetId="3" hidden="1">'N Assets'!$J$13</definedName>
    <definedName name="solver_lhs67" localSheetId="3" hidden="1">'N Assets'!$J$13</definedName>
    <definedName name="solver_lhs68" localSheetId="3" hidden="1">'N Assets'!$J$13</definedName>
    <definedName name="solver_lhs69" localSheetId="3" hidden="1">'N Assets'!$J$13</definedName>
    <definedName name="solver_lhs7" localSheetId="3" hidden="1">'N Assets'!$D$13</definedName>
    <definedName name="solver_lhs70" localSheetId="3" hidden="1">'N Assets'!$J$13</definedName>
    <definedName name="solver_lhs71" localSheetId="3" hidden="1">'N Assets'!$J$13</definedName>
    <definedName name="solver_lhs72" localSheetId="3" hidden="1">'N Assets'!$J$13</definedName>
    <definedName name="solver_lhs73" localSheetId="3" hidden="1">'N Assets'!$J$13</definedName>
    <definedName name="solver_lhs74" localSheetId="3" hidden="1">'N Assets'!$J$13</definedName>
    <definedName name="solver_lhs75" localSheetId="3" hidden="1">'N Assets'!$J$13</definedName>
    <definedName name="solver_lhs76" localSheetId="3" hidden="1">'N Assets'!$J$13</definedName>
    <definedName name="solver_lhs8" localSheetId="3" hidden="1">'N Assets'!$D$13</definedName>
    <definedName name="solver_lhs9" localSheetId="3" hidden="1">'N Assets'!$D$13</definedName>
    <definedName name="solver_mip" localSheetId="3" hidden="1">2147483647</definedName>
    <definedName name="solver_mip" localSheetId="1" hidden="1">2147483647</definedName>
    <definedName name="solver_mip" localSheetId="2" hidden="1">2147483647</definedName>
    <definedName name="solver_mni" localSheetId="3" hidden="1">30</definedName>
    <definedName name="solver_mni" localSheetId="1" hidden="1">30</definedName>
    <definedName name="solver_mni" localSheetId="2" hidden="1">30</definedName>
    <definedName name="solver_mrt" localSheetId="3" hidden="1">0.075</definedName>
    <definedName name="solver_mrt" localSheetId="1" hidden="1">0.075</definedName>
    <definedName name="solver_mrt" localSheetId="2" hidden="1">0.075</definedName>
    <definedName name="solver_msl" localSheetId="3" hidden="1">2</definedName>
    <definedName name="solver_msl" localSheetId="1" hidden="1">2</definedName>
    <definedName name="solver_msl" localSheetId="2" hidden="1">2</definedName>
    <definedName name="solver_neg" localSheetId="3" hidden="1">2</definedName>
    <definedName name="solver_neg" localSheetId="1" hidden="1">2</definedName>
    <definedName name="solver_neg" localSheetId="2" hidden="1">1</definedName>
    <definedName name="solver_nod" localSheetId="3" hidden="1">2147483647</definedName>
    <definedName name="solver_nod" localSheetId="1" hidden="1">2147483647</definedName>
    <definedName name="solver_nod" localSheetId="2" hidden="1">2147483647</definedName>
    <definedName name="solver_num" localSheetId="3" hidden="1">76</definedName>
    <definedName name="solver_num" localSheetId="1" hidden="1">1</definedName>
    <definedName name="solver_num" localSheetId="2" hidden="1">1</definedName>
    <definedName name="solver_nwt" localSheetId="3" hidden="1">1</definedName>
    <definedName name="solver_nwt" localSheetId="1" hidden="1">1</definedName>
    <definedName name="solver_nwt" localSheetId="2" hidden="1">1</definedName>
    <definedName name="solver_opt" localSheetId="3" hidden="1">'N Assets'!$K$13</definedName>
    <definedName name="solver_opt" localSheetId="1" hidden="1">Optimization!$B$13</definedName>
    <definedName name="solver_opt" localSheetId="2" hidden="1">Sheet3!$B$13</definedName>
    <definedName name="solver_pre" localSheetId="3" hidden="1">0.000001</definedName>
    <definedName name="solver_pre" localSheetId="1" hidden="1">0.000001</definedName>
    <definedName name="solver_pre" localSheetId="2" hidden="1">0.000001</definedName>
    <definedName name="solver_rbv" localSheetId="3" hidden="1">1</definedName>
    <definedName name="solver_rbv" localSheetId="1" hidden="1">2</definedName>
    <definedName name="solver_rbv" localSheetId="2" hidden="1">1</definedName>
    <definedName name="solver_rel1" localSheetId="3" hidden="1">2</definedName>
    <definedName name="solver_rel1" localSheetId="1" hidden="1">2</definedName>
    <definedName name="solver_rel1" localSheetId="2" hidden="1">2</definedName>
    <definedName name="solver_rel10" localSheetId="3" hidden="1">2</definedName>
    <definedName name="solver_rel11" localSheetId="3" hidden="1">2</definedName>
    <definedName name="solver_rel12" localSheetId="3" hidden="1">2</definedName>
    <definedName name="solver_rel13" localSheetId="3" hidden="1">2</definedName>
    <definedName name="solver_rel14" localSheetId="3" hidden="1">2</definedName>
    <definedName name="solver_rel15" localSheetId="3" hidden="1">2</definedName>
    <definedName name="solver_rel16" localSheetId="3" hidden="1">2</definedName>
    <definedName name="solver_rel17" localSheetId="3" hidden="1">2</definedName>
    <definedName name="solver_rel18" localSheetId="3" hidden="1">2</definedName>
    <definedName name="solver_rel19" localSheetId="3" hidden="1">2</definedName>
    <definedName name="solver_rel2" localSheetId="3" hidden="1">2</definedName>
    <definedName name="solver_rel20" localSheetId="3" hidden="1">2</definedName>
    <definedName name="solver_rel21" localSheetId="3" hidden="1">2</definedName>
    <definedName name="solver_rel22" localSheetId="3" hidden="1">2</definedName>
    <definedName name="solver_rel23" localSheetId="3" hidden="1">2</definedName>
    <definedName name="solver_rel24" localSheetId="3" hidden="1">2</definedName>
    <definedName name="solver_rel25" localSheetId="3" hidden="1">2</definedName>
    <definedName name="solver_rel26" localSheetId="3" hidden="1">2</definedName>
    <definedName name="solver_rel27" localSheetId="3" hidden="1">2</definedName>
    <definedName name="solver_rel28" localSheetId="3" hidden="1">2</definedName>
    <definedName name="solver_rel29" localSheetId="3" hidden="1">2</definedName>
    <definedName name="solver_rel3" localSheetId="3" hidden="1">2</definedName>
    <definedName name="solver_rel30" localSheetId="3" hidden="1">2</definedName>
    <definedName name="solver_rel31" localSheetId="3" hidden="1">2</definedName>
    <definedName name="solver_rel32" localSheetId="3" hidden="1">2</definedName>
    <definedName name="solver_rel33" localSheetId="3" hidden="1">2</definedName>
    <definedName name="solver_rel34" localSheetId="3" hidden="1">2</definedName>
    <definedName name="solver_rel35" localSheetId="3" hidden="1">2</definedName>
    <definedName name="solver_rel36" localSheetId="3" hidden="1">2</definedName>
    <definedName name="solver_rel37" localSheetId="3" hidden="1">2</definedName>
    <definedName name="solver_rel38" localSheetId="3" hidden="1">2</definedName>
    <definedName name="solver_rel39" localSheetId="3" hidden="1">2</definedName>
    <definedName name="solver_rel4" localSheetId="3" hidden="1">2</definedName>
    <definedName name="solver_rel40" localSheetId="3" hidden="1">2</definedName>
    <definedName name="solver_rel41" localSheetId="3" hidden="1">2</definedName>
    <definedName name="solver_rel42" localSheetId="3" hidden="1">2</definedName>
    <definedName name="solver_rel43" localSheetId="3" hidden="1">2</definedName>
    <definedName name="solver_rel44" localSheetId="3" hidden="1">2</definedName>
    <definedName name="solver_rel45" localSheetId="3" hidden="1">2</definedName>
    <definedName name="solver_rel46" localSheetId="3" hidden="1">2</definedName>
    <definedName name="solver_rel47" localSheetId="3" hidden="1">2</definedName>
    <definedName name="solver_rel48" localSheetId="3" hidden="1">2</definedName>
    <definedName name="solver_rel49" localSheetId="3" hidden="1">2</definedName>
    <definedName name="solver_rel5" localSheetId="3" hidden="1">2</definedName>
    <definedName name="solver_rel50" localSheetId="3" hidden="1">2</definedName>
    <definedName name="solver_rel51" localSheetId="3" hidden="1">2</definedName>
    <definedName name="solver_rel52" localSheetId="3" hidden="1">2</definedName>
    <definedName name="solver_rel53" localSheetId="3" hidden="1">2</definedName>
    <definedName name="solver_rel54" localSheetId="3" hidden="1">2</definedName>
    <definedName name="solver_rel55" localSheetId="3" hidden="1">2</definedName>
    <definedName name="solver_rel56" localSheetId="3" hidden="1">2</definedName>
    <definedName name="solver_rel57" localSheetId="3" hidden="1">2</definedName>
    <definedName name="solver_rel58" localSheetId="3" hidden="1">2</definedName>
    <definedName name="solver_rel59" localSheetId="3" hidden="1">2</definedName>
    <definedName name="solver_rel6" localSheetId="3" hidden="1">2</definedName>
    <definedName name="solver_rel60" localSheetId="3" hidden="1">2</definedName>
    <definedName name="solver_rel61" localSheetId="3" hidden="1">2</definedName>
    <definedName name="solver_rel62" localSheetId="3" hidden="1">2</definedName>
    <definedName name="solver_rel63" localSheetId="3" hidden="1">2</definedName>
    <definedName name="solver_rel64" localSheetId="3" hidden="1">2</definedName>
    <definedName name="solver_rel65" localSheetId="3" hidden="1">2</definedName>
    <definedName name="solver_rel66" localSheetId="3" hidden="1">2</definedName>
    <definedName name="solver_rel67" localSheetId="3" hidden="1">2</definedName>
    <definedName name="solver_rel68" localSheetId="3" hidden="1">2</definedName>
    <definedName name="solver_rel69" localSheetId="3" hidden="1">2</definedName>
    <definedName name="solver_rel7" localSheetId="3" hidden="1">2</definedName>
    <definedName name="solver_rel70" localSheetId="3" hidden="1">2</definedName>
    <definedName name="solver_rel71" localSheetId="3" hidden="1">2</definedName>
    <definedName name="solver_rel72" localSheetId="3" hidden="1">2</definedName>
    <definedName name="solver_rel73" localSheetId="3" hidden="1">2</definedName>
    <definedName name="solver_rel74" localSheetId="3" hidden="1">2</definedName>
    <definedName name="solver_rel75" localSheetId="3" hidden="1">2</definedName>
    <definedName name="solver_rel76" localSheetId="3" hidden="1">2</definedName>
    <definedName name="solver_rel8" localSheetId="3" hidden="1">2</definedName>
    <definedName name="solver_rel9" localSheetId="3" hidden="1">2</definedName>
    <definedName name="solver_rhs1" localSheetId="3" hidden="1">1</definedName>
    <definedName name="solver_rhs1" localSheetId="1" hidden="1">1</definedName>
    <definedName name="solver_rhs1" localSheetId="2" hidden="1">1</definedName>
    <definedName name="solver_rhs10" localSheetId="3" hidden="1">1</definedName>
    <definedName name="solver_rhs11" localSheetId="3" hidden="1">1</definedName>
    <definedName name="solver_rhs12" localSheetId="3" hidden="1">1</definedName>
    <definedName name="solver_rhs13" localSheetId="3" hidden="1">1</definedName>
    <definedName name="solver_rhs14" localSheetId="3" hidden="1">1</definedName>
    <definedName name="solver_rhs15" localSheetId="3" hidden="1">1</definedName>
    <definedName name="solver_rhs16" localSheetId="3" hidden="1">1</definedName>
    <definedName name="solver_rhs17" localSheetId="3" hidden="1">1</definedName>
    <definedName name="solver_rhs18" localSheetId="3" hidden="1">1</definedName>
    <definedName name="solver_rhs19" localSheetId="3" hidden="1">1</definedName>
    <definedName name="solver_rhs2" localSheetId="3" hidden="1">1</definedName>
    <definedName name="solver_rhs20" localSheetId="3" hidden="1">1</definedName>
    <definedName name="solver_rhs21" localSheetId="3" hidden="1">1</definedName>
    <definedName name="solver_rhs22" localSheetId="3" hidden="1">1</definedName>
    <definedName name="solver_rhs23" localSheetId="3" hidden="1">1</definedName>
    <definedName name="solver_rhs24" localSheetId="3" hidden="1">1</definedName>
    <definedName name="solver_rhs25" localSheetId="3" hidden="1">1</definedName>
    <definedName name="solver_rhs26" localSheetId="3" hidden="1">1</definedName>
    <definedName name="solver_rhs27" localSheetId="3" hidden="1">1</definedName>
    <definedName name="solver_rhs28" localSheetId="3" hidden="1">1</definedName>
    <definedName name="solver_rhs29" localSheetId="3" hidden="1">1</definedName>
    <definedName name="solver_rhs3" localSheetId="3" hidden="1">1</definedName>
    <definedName name="solver_rhs30" localSheetId="3" hidden="1">1</definedName>
    <definedName name="solver_rhs31" localSheetId="3" hidden="1">1</definedName>
    <definedName name="solver_rhs32" localSheetId="3" hidden="1">1</definedName>
    <definedName name="solver_rhs33" localSheetId="3" hidden="1">1</definedName>
    <definedName name="solver_rhs34" localSheetId="3" hidden="1">1</definedName>
    <definedName name="solver_rhs35" localSheetId="3" hidden="1">1</definedName>
    <definedName name="solver_rhs36" localSheetId="3" hidden="1">1</definedName>
    <definedName name="solver_rhs37" localSheetId="3" hidden="1">1</definedName>
    <definedName name="solver_rhs38" localSheetId="3" hidden="1">'N Assets'!$I$13</definedName>
    <definedName name="solver_rhs39" localSheetId="3" hidden="1">1</definedName>
    <definedName name="solver_rhs4" localSheetId="3" hidden="1">1</definedName>
    <definedName name="solver_rhs40" localSheetId="3" hidden="1">'N Assets'!$I$13</definedName>
    <definedName name="solver_rhs41" localSheetId="3" hidden="1">'N Assets'!$I$13</definedName>
    <definedName name="solver_rhs42" localSheetId="3" hidden="1">'N Assets'!$I$13</definedName>
    <definedName name="solver_rhs43" localSheetId="3" hidden="1">'N Assets'!$I$13</definedName>
    <definedName name="solver_rhs44" localSheetId="3" hidden="1">'N Assets'!$I$13</definedName>
    <definedName name="solver_rhs45" localSheetId="3" hidden="1">'N Assets'!$I$13</definedName>
    <definedName name="solver_rhs46" localSheetId="3" hidden="1">'N Assets'!$I$13</definedName>
    <definedName name="solver_rhs47" localSheetId="3" hidden="1">'N Assets'!$I$13</definedName>
    <definedName name="solver_rhs48" localSheetId="3" hidden="1">'N Assets'!$I$13</definedName>
    <definedName name="solver_rhs49" localSheetId="3" hidden="1">'N Assets'!$I$13</definedName>
    <definedName name="solver_rhs5" localSheetId="3" hidden="1">1</definedName>
    <definedName name="solver_rhs50" localSheetId="3" hidden="1">'N Assets'!$I$13</definedName>
    <definedName name="solver_rhs51" localSheetId="3" hidden="1">'N Assets'!$I$13</definedName>
    <definedName name="solver_rhs52" localSheetId="3" hidden="1">'N Assets'!$I$13</definedName>
    <definedName name="solver_rhs53" localSheetId="3" hidden="1">'N Assets'!$I$13</definedName>
    <definedName name="solver_rhs54" localSheetId="3" hidden="1">'N Assets'!$I$13</definedName>
    <definedName name="solver_rhs55" localSheetId="3" hidden="1">'N Assets'!$I$13</definedName>
    <definedName name="solver_rhs56" localSheetId="3" hidden="1">'N Assets'!$I$13</definedName>
    <definedName name="solver_rhs57" localSheetId="3" hidden="1">'N Assets'!$I$13</definedName>
    <definedName name="solver_rhs58" localSheetId="3" hidden="1">'N Assets'!$I$13</definedName>
    <definedName name="solver_rhs59" localSheetId="3" hidden="1">'N Assets'!$I$13</definedName>
    <definedName name="solver_rhs6" localSheetId="3" hidden="1">1</definedName>
    <definedName name="solver_rhs60" localSheetId="3" hidden="1">'N Assets'!$I$13</definedName>
    <definedName name="solver_rhs61" localSheetId="3" hidden="1">'N Assets'!$I$13</definedName>
    <definedName name="solver_rhs62" localSheetId="3" hidden="1">'N Assets'!$I$13</definedName>
    <definedName name="solver_rhs63" localSheetId="3" hidden="1">'N Assets'!$I$13</definedName>
    <definedName name="solver_rhs64" localSheetId="3" hidden="1">'N Assets'!$I$13</definedName>
    <definedName name="solver_rhs65" localSheetId="3" hidden="1">'N Assets'!$I$13</definedName>
    <definedName name="solver_rhs66" localSheetId="3" hidden="1">'N Assets'!$I$13</definedName>
    <definedName name="solver_rhs67" localSheetId="3" hidden="1">'N Assets'!$I$13</definedName>
    <definedName name="solver_rhs68" localSheetId="3" hidden="1">'N Assets'!$I$13</definedName>
    <definedName name="solver_rhs69" localSheetId="3" hidden="1">'N Assets'!$I$13</definedName>
    <definedName name="solver_rhs7" localSheetId="3" hidden="1">1</definedName>
    <definedName name="solver_rhs70" localSheetId="3" hidden="1">'N Assets'!$I$13</definedName>
    <definedName name="solver_rhs71" localSheetId="3" hidden="1">'N Assets'!$I$13</definedName>
    <definedName name="solver_rhs72" localSheetId="3" hidden="1">'N Assets'!$I$13</definedName>
    <definedName name="solver_rhs73" localSheetId="3" hidden="1">'N Assets'!$I$13</definedName>
    <definedName name="solver_rhs74" localSheetId="3" hidden="1">'N Assets'!$I$13</definedName>
    <definedName name="solver_rhs75" localSheetId="3" hidden="1">'N Assets'!$I$13</definedName>
    <definedName name="solver_rhs76" localSheetId="3" hidden="1">'N Assets'!$I$13</definedName>
    <definedName name="solver_rhs8" localSheetId="3" hidden="1">1</definedName>
    <definedName name="solver_rhs9" localSheetId="3" hidden="1">1</definedName>
    <definedName name="solver_rlx" localSheetId="3" hidden="1">2</definedName>
    <definedName name="solver_rlx" localSheetId="1" hidden="1">2</definedName>
    <definedName name="solver_rlx" localSheetId="2" hidden="1">2</definedName>
    <definedName name="solver_rsd" localSheetId="3" hidden="1">0</definedName>
    <definedName name="solver_rsd" localSheetId="1" hidden="1">0</definedName>
    <definedName name="solver_rsd" localSheetId="2" hidden="1">0</definedName>
    <definedName name="solver_scl" localSheetId="3" hidden="1">1</definedName>
    <definedName name="solver_scl" localSheetId="1" hidden="1">2</definedName>
    <definedName name="solver_scl" localSheetId="2" hidden="1">1</definedName>
    <definedName name="solver_sho" localSheetId="3" hidden="1">2</definedName>
    <definedName name="solver_sho" localSheetId="1" hidden="1">2</definedName>
    <definedName name="solver_sho" localSheetId="2" hidden="1">2</definedName>
    <definedName name="solver_ssz" localSheetId="3" hidden="1">100</definedName>
    <definedName name="solver_ssz" localSheetId="1" hidden="1">100</definedName>
    <definedName name="solver_ssz" localSheetId="2" hidden="1">100</definedName>
    <definedName name="solver_tim" localSheetId="3" hidden="1">2147483647</definedName>
    <definedName name="solver_tim" localSheetId="1" hidden="1">2147483647</definedName>
    <definedName name="solver_tim" localSheetId="2" hidden="1">2147483647</definedName>
    <definedName name="solver_tol" localSheetId="3" hidden="1">0.01</definedName>
    <definedName name="solver_tol" localSheetId="1" hidden="1">0.01</definedName>
    <definedName name="solver_tol" localSheetId="2" hidden="1">0.01</definedName>
    <definedName name="solver_typ" localSheetId="3" hidden="1">2</definedName>
    <definedName name="solver_typ" localSheetId="1" hidden="1">1</definedName>
    <definedName name="solver_typ" localSheetId="2" hidden="1">1</definedName>
    <definedName name="solver_val" localSheetId="3" hidden="1">0</definedName>
    <definedName name="solver_val" localSheetId="1" hidden="1">0</definedName>
    <definedName name="solver_val" localSheetId="2" hidden="1">0</definedName>
    <definedName name="solver_ver" localSheetId="3" hidden="1">3</definedName>
    <definedName name="solver_ver" localSheetId="1" hidden="1">3</definedName>
    <definedName name="solver_ver" localSheetId="2" hidden="1">3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3" i="4" l="1" a="1"/>
  <c r="J13" i="4" s="1"/>
  <c r="A25" i="4" l="1"/>
  <c r="A24" i="4"/>
  <c r="A23" i="4"/>
  <c r="A22" i="4"/>
  <c r="B14" i="4" a="1"/>
  <c r="B14" i="4" s="1"/>
  <c r="B15" i="4" s="1"/>
  <c r="D13" i="4"/>
  <c r="J9" i="4"/>
  <c r="F8" i="4"/>
  <c r="K6" i="4"/>
  <c r="J6" i="4"/>
  <c r="I6" i="4"/>
  <c r="H6" i="4"/>
  <c r="J5" i="4"/>
  <c r="I5" i="4"/>
  <c r="H5" i="4"/>
  <c r="G6" i="4" s="1"/>
  <c r="G5" i="4"/>
  <c r="F5" i="4"/>
  <c r="I4" i="4"/>
  <c r="H4" i="4"/>
  <c r="F6" i="4" s="1"/>
  <c r="G4" i="4"/>
  <c r="F4" i="4"/>
  <c r="H3" i="4"/>
  <c r="E6" i="4" s="1"/>
  <c r="G3" i="4"/>
  <c r="E5" i="4" s="1"/>
  <c r="F3" i="4"/>
  <c r="E4" i="4" s="1"/>
  <c r="E3" i="4"/>
  <c r="E2" i="4" a="1"/>
  <c r="E2" i="4" s="1"/>
  <c r="B19" i="3"/>
  <c r="B18" i="3"/>
  <c r="B17" i="3"/>
  <c r="B16" i="3"/>
  <c r="B13" i="3"/>
  <c r="B12" i="3"/>
  <c r="B11" i="3"/>
  <c r="B10" i="3"/>
  <c r="G6" i="3"/>
  <c r="B13" i="2"/>
  <c r="C12" i="2"/>
  <c r="B12" i="2"/>
  <c r="B11" i="2"/>
  <c r="E10" i="2"/>
  <c r="D83" i="1"/>
  <c r="C83" i="1"/>
  <c r="B83" i="1"/>
  <c r="A83" i="1"/>
  <c r="D82" i="1"/>
  <c r="C82" i="1"/>
  <c r="B82" i="1"/>
  <c r="A82" i="1"/>
  <c r="D81" i="1"/>
  <c r="C81" i="1"/>
  <c r="B81" i="1"/>
  <c r="A81" i="1"/>
  <c r="D80" i="1"/>
  <c r="C80" i="1"/>
  <c r="B80" i="1"/>
  <c r="A80" i="1"/>
  <c r="D79" i="1"/>
  <c r="C79" i="1"/>
  <c r="B79" i="1"/>
  <c r="A79" i="1"/>
  <c r="D78" i="1"/>
  <c r="C78" i="1"/>
  <c r="B78" i="1"/>
  <c r="A78" i="1"/>
  <c r="D77" i="1"/>
  <c r="C77" i="1"/>
  <c r="B77" i="1"/>
  <c r="A77" i="1"/>
  <c r="D76" i="1"/>
  <c r="C76" i="1"/>
  <c r="B76" i="1"/>
  <c r="A76" i="1"/>
  <c r="D75" i="1"/>
  <c r="C75" i="1"/>
  <c r="B75" i="1"/>
  <c r="A75" i="1"/>
  <c r="D74" i="1"/>
  <c r="C74" i="1"/>
  <c r="B74" i="1"/>
  <c r="A74" i="1"/>
  <c r="D73" i="1"/>
  <c r="C73" i="1"/>
  <c r="B73" i="1"/>
  <c r="A73" i="1"/>
  <c r="D72" i="1"/>
  <c r="C72" i="1"/>
  <c r="B72" i="1"/>
  <c r="A72" i="1"/>
  <c r="D71" i="1"/>
  <c r="C71" i="1"/>
  <c r="B71" i="1"/>
  <c r="A71" i="1"/>
  <c r="D70" i="1"/>
  <c r="C70" i="1"/>
  <c r="B70" i="1"/>
  <c r="A70" i="1"/>
  <c r="D69" i="1"/>
  <c r="C69" i="1"/>
  <c r="B69" i="1"/>
  <c r="A69" i="1"/>
  <c r="D68" i="1"/>
  <c r="C68" i="1"/>
  <c r="B68" i="1"/>
  <c r="A68" i="1"/>
  <c r="D67" i="1"/>
  <c r="C67" i="1"/>
  <c r="B67" i="1"/>
  <c r="A67" i="1"/>
  <c r="D66" i="1"/>
  <c r="C66" i="1"/>
  <c r="B66" i="1"/>
  <c r="A66" i="1"/>
  <c r="D65" i="1"/>
  <c r="C65" i="1"/>
  <c r="B65" i="1"/>
  <c r="A65" i="1"/>
  <c r="D64" i="1"/>
  <c r="C64" i="1"/>
  <c r="B64" i="1"/>
  <c r="A64" i="1"/>
  <c r="D63" i="1"/>
  <c r="C63" i="1"/>
  <c r="B63" i="1"/>
  <c r="A63" i="1"/>
  <c r="D62" i="1"/>
  <c r="C62" i="1"/>
  <c r="B62" i="1"/>
  <c r="A62" i="1"/>
  <c r="D61" i="1"/>
  <c r="C61" i="1"/>
  <c r="B61" i="1"/>
  <c r="A61" i="1"/>
  <c r="D60" i="1"/>
  <c r="C60" i="1"/>
  <c r="B60" i="1"/>
  <c r="A60" i="1"/>
  <c r="D59" i="1"/>
  <c r="C59" i="1"/>
  <c r="B59" i="1"/>
  <c r="A59" i="1"/>
  <c r="D58" i="1"/>
  <c r="C58" i="1"/>
  <c r="B58" i="1"/>
  <c r="A58" i="1"/>
  <c r="D57" i="1"/>
  <c r="C57" i="1"/>
  <c r="B57" i="1"/>
  <c r="A57" i="1"/>
  <c r="D56" i="1"/>
  <c r="C56" i="1"/>
  <c r="B56" i="1"/>
  <c r="A56" i="1"/>
  <c r="D55" i="1"/>
  <c r="C55" i="1"/>
  <c r="B55" i="1"/>
  <c r="A55" i="1"/>
  <c r="D54" i="1"/>
  <c r="C54" i="1"/>
  <c r="B54" i="1"/>
  <c r="A54" i="1"/>
  <c r="D53" i="1"/>
  <c r="C53" i="1"/>
  <c r="B53" i="1"/>
  <c r="A53" i="1"/>
  <c r="D52" i="1"/>
  <c r="C52" i="1"/>
  <c r="B52" i="1"/>
  <c r="A52" i="1"/>
  <c r="D51" i="1"/>
  <c r="C51" i="1"/>
  <c r="B51" i="1"/>
  <c r="A51" i="1"/>
  <c r="D50" i="1"/>
  <c r="C50" i="1"/>
  <c r="B50" i="1"/>
  <c r="A50" i="1"/>
  <c r="D49" i="1"/>
  <c r="C49" i="1"/>
  <c r="B49" i="1"/>
  <c r="A49" i="1"/>
  <c r="D48" i="1"/>
  <c r="C48" i="1"/>
  <c r="B48" i="1"/>
  <c r="A48" i="1"/>
  <c r="D47" i="1"/>
  <c r="C47" i="1"/>
  <c r="B47" i="1"/>
  <c r="A47" i="1"/>
  <c r="D46" i="1"/>
  <c r="C46" i="1"/>
  <c r="B46" i="1"/>
  <c r="A46" i="1"/>
  <c r="D45" i="1"/>
  <c r="C45" i="1"/>
  <c r="B45" i="1"/>
  <c r="A45" i="1"/>
  <c r="D44" i="1"/>
  <c r="C44" i="1"/>
  <c r="B44" i="1"/>
  <c r="A44" i="1"/>
  <c r="D43" i="1"/>
  <c r="C43" i="1"/>
  <c r="B43" i="1"/>
  <c r="A43" i="1"/>
  <c r="D42" i="1"/>
  <c r="C42" i="1"/>
  <c r="B42" i="1"/>
  <c r="A42" i="1"/>
  <c r="D41" i="1"/>
  <c r="C41" i="1"/>
  <c r="B41" i="1"/>
  <c r="A41" i="1"/>
  <c r="D40" i="1"/>
  <c r="C40" i="1"/>
  <c r="B40" i="1"/>
  <c r="A40" i="1"/>
  <c r="D39" i="1"/>
  <c r="C39" i="1"/>
  <c r="B39" i="1"/>
  <c r="A39" i="1"/>
  <c r="D38" i="1"/>
  <c r="C38" i="1"/>
  <c r="B38" i="1"/>
  <c r="A38" i="1"/>
  <c r="D37" i="1"/>
  <c r="C37" i="1"/>
  <c r="B37" i="1"/>
  <c r="A37" i="1"/>
  <c r="D36" i="1"/>
  <c r="C36" i="1"/>
  <c r="B36" i="1"/>
  <c r="A36" i="1"/>
  <c r="D35" i="1"/>
  <c r="C35" i="1"/>
  <c r="B35" i="1"/>
  <c r="A35" i="1"/>
  <c r="D34" i="1"/>
  <c r="C34" i="1"/>
  <c r="B34" i="1"/>
  <c r="A34" i="1"/>
  <c r="D33" i="1"/>
  <c r="C33" i="1"/>
  <c r="B33" i="1"/>
  <c r="A33" i="1"/>
  <c r="D32" i="1"/>
  <c r="C32" i="1"/>
  <c r="B32" i="1"/>
  <c r="A32" i="1"/>
  <c r="D31" i="1"/>
  <c r="C31" i="1"/>
  <c r="B31" i="1"/>
  <c r="A31" i="1"/>
  <c r="D30" i="1"/>
  <c r="C30" i="1"/>
  <c r="B30" i="1"/>
  <c r="A30" i="1"/>
  <c r="D29" i="1"/>
  <c r="C29" i="1"/>
  <c r="B29" i="1"/>
  <c r="A29" i="1"/>
  <c r="D28" i="1"/>
  <c r="C28" i="1"/>
  <c r="B28" i="1"/>
  <c r="A28" i="1"/>
  <c r="D27" i="1"/>
  <c r="C27" i="1"/>
  <c r="B27" i="1"/>
  <c r="A27" i="1"/>
  <c r="D26" i="1"/>
  <c r="C26" i="1"/>
  <c r="B26" i="1"/>
  <c r="A26" i="1"/>
  <c r="D25" i="1"/>
  <c r="C25" i="1"/>
  <c r="B25" i="1"/>
  <c r="A25" i="1"/>
  <c r="D24" i="1"/>
  <c r="C24" i="1"/>
  <c r="B24" i="1"/>
  <c r="A24" i="1"/>
  <c r="D23" i="1"/>
  <c r="C23" i="1"/>
  <c r="B23" i="1"/>
  <c r="A23" i="1"/>
  <c r="D22" i="1"/>
  <c r="C22" i="1"/>
  <c r="B22" i="1"/>
  <c r="A22" i="1"/>
  <c r="D21" i="1"/>
  <c r="C21" i="1"/>
  <c r="B21" i="1"/>
  <c r="A21" i="1"/>
  <c r="D20" i="1"/>
  <c r="C20" i="1"/>
  <c r="B20" i="1"/>
  <c r="A20" i="1"/>
  <c r="D19" i="1"/>
  <c r="C19" i="1"/>
  <c r="B19" i="1"/>
  <c r="A19" i="1"/>
  <c r="D18" i="1"/>
  <c r="C18" i="1"/>
  <c r="B18" i="1"/>
  <c r="A18" i="1"/>
  <c r="D17" i="1"/>
  <c r="C17" i="1"/>
  <c r="B17" i="1"/>
  <c r="A17" i="1"/>
  <c r="D16" i="1"/>
  <c r="C16" i="1"/>
  <c r="B16" i="1"/>
  <c r="A16" i="1"/>
  <c r="D15" i="1"/>
  <c r="C15" i="1"/>
  <c r="B15" i="1"/>
  <c r="A15" i="1"/>
  <c r="D14" i="1"/>
  <c r="C14" i="1"/>
  <c r="B14" i="1"/>
  <c r="A14" i="1"/>
  <c r="D13" i="1"/>
  <c r="C13" i="1"/>
  <c r="B13" i="1"/>
  <c r="A13" i="1"/>
  <c r="D12" i="1"/>
  <c r="C12" i="1"/>
  <c r="B12" i="1"/>
  <c r="A12" i="1"/>
  <c r="D11" i="1"/>
  <c r="C11" i="1"/>
  <c r="B11" i="1"/>
  <c r="A11" i="1"/>
  <c r="D10" i="1"/>
  <c r="C10" i="1"/>
  <c r="B10" i="1"/>
  <c r="A10" i="1"/>
  <c r="D9" i="1"/>
  <c r="C9" i="1"/>
  <c r="B9" i="1"/>
  <c r="D8" i="1"/>
  <c r="C8" i="1"/>
  <c r="B16" i="4" l="1" a="1"/>
  <c r="B16" i="4" s="1"/>
  <c r="B17" i="4" s="1"/>
  <c r="K13" i="4" a="1"/>
  <c r="K13" i="4" s="1"/>
  <c r="B20" i="4" l="1"/>
  <c r="B24" i="4" l="1"/>
  <c r="B23" i="4"/>
  <c r="B21" i="4"/>
  <c r="B25" i="4"/>
  <c r="B22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<sst xmlns="http://schemas.openxmlformats.org/spreadsheetml/2006/main" count="83" uniqueCount="41">
  <si>
    <t>Acciones</t>
  </si>
  <si>
    <t>Bonos</t>
  </si>
  <si>
    <t>E(r)</t>
  </si>
  <si>
    <t>Stdr</t>
  </si>
  <si>
    <t>Corr(A,B)</t>
  </si>
  <si>
    <t>WA</t>
  </si>
  <si>
    <t>WB</t>
  </si>
  <si>
    <t>E(WA,WB)</t>
  </si>
  <si>
    <t>Título</t>
  </si>
  <si>
    <t>Std(WA,WB)</t>
  </si>
  <si>
    <t>Risk Free</t>
  </si>
  <si>
    <t>Portfolio</t>
  </si>
  <si>
    <t>F</t>
  </si>
  <si>
    <t>E</t>
  </si>
  <si>
    <t>D</t>
  </si>
  <si>
    <t>Risk Aversion</t>
  </si>
  <si>
    <t>Expected Return</t>
  </si>
  <si>
    <t>Variance</t>
  </si>
  <si>
    <t>Expected Utility</t>
  </si>
  <si>
    <t>Maximize Sharp Ratio</t>
  </si>
  <si>
    <t>Risk Premium</t>
  </si>
  <si>
    <t>STD</t>
  </si>
  <si>
    <t>Risky Portofolio</t>
  </si>
  <si>
    <t>Equity</t>
  </si>
  <si>
    <t>Debt</t>
  </si>
  <si>
    <t>Type</t>
  </si>
  <si>
    <t>Sharpe Ratio</t>
  </si>
  <si>
    <t>Total Portfolio</t>
  </si>
  <si>
    <t>Phi</t>
  </si>
  <si>
    <t>How much of my wealth goes to risky asset</t>
  </si>
  <si>
    <t>Equity COL</t>
  </si>
  <si>
    <t>Debt COL</t>
  </si>
  <si>
    <t>Equity INT</t>
  </si>
  <si>
    <t>Debt INT</t>
  </si>
  <si>
    <t>Variance -  Covariance Matrix</t>
  </si>
  <si>
    <t>Correlation</t>
  </si>
  <si>
    <t>Frontera Eficiente</t>
  </si>
  <si>
    <t>Return Obj.</t>
  </si>
  <si>
    <t>Exp. Return</t>
  </si>
  <si>
    <t>Exp. Std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</si>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</sst>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0">
    <xf numFmtId="0" fontId="0" fillId="0" borderId="0" xfId="0"/>
    <xf numFmtId="9" fontId="0" fillId="0" borderId="0" xfId="1" applyFont="1" applyAlignment="1">
      <alignment horizontal="center" vertical="center"/>
    </xf>
    <xf numFmtId="10" fontId="0" fillId="0" borderId="0" xfId="1" applyNumberFormat="1" applyFont="1" applyAlignment="1">
      <alignment horizontal="center" vertical="center"/>
    </xf>
    <xf numFmtId="9" fontId="3" fillId="0" borderId="0" xfId="1" applyFont="1" applyAlignment="1">
      <alignment horizontal="center" vertical="center"/>
    </xf>
    <xf numFmtId="9" fontId="2" fillId="0" borderId="0" xfId="1" applyFont="1" applyAlignment="1">
      <alignment horizontal="center" vertical="center"/>
    </xf>
    <xf numFmtId="9" fontId="2" fillId="2" borderId="1" xfId="1" applyFont="1" applyFill="1" applyBorder="1" applyAlignment="1">
      <alignment horizontal="center" vertical="center"/>
    </xf>
    <xf numFmtId="9" fontId="2" fillId="2" borderId="1" xfId="1" quotePrefix="1" applyFont="1" applyFill="1" applyBorder="1" applyAlignment="1">
      <alignment horizontal="center" vertical="center"/>
    </xf>
    <xf numFmtId="10" fontId="2" fillId="2" borderId="1" xfId="1" applyNumberFormat="1" applyFont="1" applyFill="1" applyBorder="1" applyAlignment="1">
      <alignment horizontal="center" vertical="center"/>
    </xf>
    <xf numFmtId="9" fontId="2" fillId="0" borderId="2" xfId="1" applyFont="1" applyBorder="1" applyAlignment="1">
      <alignment horizontal="center" vertical="center"/>
    </xf>
    <xf numFmtId="9" fontId="0" fillId="0" borderId="2" xfId="1" applyFont="1" applyBorder="1" applyAlignment="1">
      <alignment horizontal="center" vertical="center"/>
    </xf>
    <xf numFmtId="10" fontId="0" fillId="0" borderId="2" xfId="1" applyNumberFormat="1" applyFont="1" applyBorder="1" applyAlignment="1">
      <alignment horizontal="center" vertical="center"/>
    </xf>
    <xf numFmtId="0" fontId="0" fillId="0" borderId="1" xfId="1" applyNumberFormat="1" applyFont="1" applyBorder="1" applyAlignment="1">
      <alignment horizontal="center" vertical="center"/>
    </xf>
    <xf numFmtId="9" fontId="0" fillId="0" borderId="3" xfId="1" applyFont="1" applyBorder="1" applyAlignment="1">
      <alignment horizontal="center" vertical="center"/>
    </xf>
    <xf numFmtId="10" fontId="0" fillId="0" borderId="3" xfId="1" applyNumberFormat="1" applyFont="1" applyBorder="1" applyAlignment="1">
      <alignment horizontal="center" vertical="center"/>
    </xf>
    <xf numFmtId="9" fontId="2" fillId="2" borderId="0" xfId="1" applyFont="1" applyFill="1" applyBorder="1" applyAlignment="1">
      <alignment horizontal="center" vertical="center"/>
    </xf>
    <xf numFmtId="9" fontId="2" fillId="0" borderId="4" xfId="1" applyFont="1" applyBorder="1" applyAlignment="1">
      <alignment horizontal="center" vertical="center"/>
    </xf>
    <xf numFmtId="9" fontId="0" fillId="0" borderId="4" xfId="1" applyFont="1" applyBorder="1" applyAlignment="1">
      <alignment horizontal="center" vertical="center"/>
    </xf>
    <xf numFmtId="10" fontId="0" fillId="0" borderId="4" xfId="1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0" borderId="4" xfId="0" applyFont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1" applyNumberFormat="1" applyFont="1" applyBorder="1" applyAlignment="1">
      <alignment horizontal="center" vertical="center"/>
    </xf>
    <xf numFmtId="9" fontId="2" fillId="2" borderId="2" xfId="1" applyFont="1" applyFill="1" applyBorder="1" applyAlignment="1">
      <alignment horizontal="center" vertical="center"/>
    </xf>
    <xf numFmtId="0" fontId="0" fillId="0" borderId="2" xfId="1" applyNumberFormat="1" applyFont="1" applyBorder="1" applyAlignment="1">
      <alignment horizontal="center" vertical="center"/>
    </xf>
    <xf numFmtId="10" fontId="0" fillId="0" borderId="4" xfId="1" applyNumberFormat="1" applyFont="1" applyBorder="1" applyAlignment="1">
      <alignment horizontal="center"/>
    </xf>
    <xf numFmtId="0" fontId="0" fillId="0" borderId="3" xfId="0" applyBorder="1" applyAlignment="1">
      <alignment horizontal="center"/>
    </xf>
    <xf numFmtId="10" fontId="0" fillId="0" borderId="3" xfId="1" applyNumberFormat="1" applyFont="1" applyBorder="1" applyAlignment="1">
      <alignment horizontal="center"/>
    </xf>
    <xf numFmtId="9" fontId="2" fillId="2" borderId="6" xfId="1" applyFont="1" applyFill="1" applyBorder="1" applyAlignment="1">
      <alignment horizontal="center" vertical="center"/>
    </xf>
    <xf numFmtId="0" fontId="0" fillId="0" borderId="6" xfId="1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2" xfId="0" applyFont="1" applyBorder="1" applyAlignment="1">
      <alignment horizontal="center"/>
    </xf>
    <xf numFmtId="9" fontId="0" fillId="0" borderId="0" xfId="1" applyFont="1" applyBorder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3" xfId="0" applyBorder="1" applyAlignment="1">
      <alignment horizontal="center" vertical="center"/>
    </xf>
    <xf numFmtId="10" fontId="0" fillId="0" borderId="3" xfId="0" applyNumberForma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4" xfId="0" applyFont="1" applyBorder="1" applyAlignment="1">
      <alignment horizontal="center" vertical="center"/>
    </xf>
    <xf numFmtId="9" fontId="2" fillId="0" borderId="3" xfId="1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2" fontId="0" fillId="0" borderId="0" xfId="1" applyNumberFormat="1" applyFont="1" applyAlignment="1">
      <alignment horizontal="center" vertical="center"/>
    </xf>
    <xf numFmtId="2" fontId="0" fillId="0" borderId="3" xfId="1" applyNumberFormat="1" applyFont="1" applyBorder="1" applyAlignment="1">
      <alignment horizontal="center" vertical="center"/>
    </xf>
    <xf numFmtId="2" fontId="0" fillId="0" borderId="2" xfId="1" applyNumberFormat="1" applyFont="1" applyBorder="1" applyAlignment="1">
      <alignment horizontal="center" vertical="center"/>
    </xf>
    <xf numFmtId="9" fontId="0" fillId="0" borderId="3" xfId="0" applyNumberFormat="1" applyBorder="1" applyAlignment="1">
      <alignment horizontal="center" vertical="center"/>
    </xf>
    <xf numFmtId="9" fontId="0" fillId="0" borderId="2" xfId="0" applyNumberFormat="1" applyBorder="1" applyAlignment="1">
      <alignment horizontal="center" vertical="center"/>
    </xf>
    <xf numFmtId="10" fontId="2" fillId="3" borderId="1" xfId="1" applyNumberFormat="1" applyFont="1" applyFill="1" applyBorder="1" applyAlignment="1">
      <alignment horizontal="center" vertical="center"/>
    </xf>
    <xf numFmtId="10" fontId="0" fillId="0" borderId="0" xfId="1" applyNumberFormat="1" applyFont="1" applyBorder="1" applyAlignment="1">
      <alignment horizontal="center" vertical="center"/>
    </xf>
    <xf numFmtId="10" fontId="0" fillId="0" borderId="6" xfId="1" applyNumberFormat="1" applyFont="1" applyBorder="1" applyAlignment="1">
      <alignment horizontal="center" vertical="center"/>
    </xf>
    <xf numFmtId="10" fontId="1" fillId="0" borderId="6" xfId="1" applyNumberFormat="1" applyFont="1" applyBorder="1" applyAlignment="1">
      <alignment horizontal="center" vertical="center"/>
    </xf>
    <xf numFmtId="10" fontId="1" fillId="0" borderId="3" xfId="1" applyNumberFormat="1" applyFont="1" applyBorder="1" applyAlignment="1">
      <alignment horizontal="center" vertical="center"/>
    </xf>
    <xf numFmtId="10" fontId="0" fillId="0" borderId="7" xfId="1" applyNumberFormat="1" applyFont="1" applyBorder="1" applyAlignment="1">
      <alignment horizontal="center" vertical="center"/>
    </xf>
    <xf numFmtId="10" fontId="1" fillId="0" borderId="7" xfId="1" applyNumberFormat="1" applyFont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10" fontId="0" fillId="0" borderId="5" xfId="0" applyNumberFormat="1" applyBorder="1" applyAlignment="1">
      <alignment horizontal="center"/>
    </xf>
    <xf numFmtId="0" fontId="2" fillId="0" borderId="2" xfId="0" applyNumberFormat="1" applyFont="1" applyBorder="1" applyAlignment="1">
      <alignment horizontal="center"/>
    </xf>
    <xf numFmtId="0" fontId="2" fillId="3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Mean Variance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Sheet1!$D$7</c:f>
              <c:strCache>
                <c:ptCount val="1"/>
                <c:pt idx="0">
                  <c:v>Std(WA,WB)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Sheet1!$D$8:$D$83</c:f>
              <c:numCache>
                <c:formatCode>0.00%</c:formatCode>
                <c:ptCount val="76"/>
                <c:pt idx="0">
                  <c:v>0.14500000000000002</c:v>
                </c:pt>
                <c:pt idx="1">
                  <c:v>0.14124078731018178</c:v>
                </c:pt>
                <c:pt idx="2">
                  <c:v>0.137509417859287</c:v>
                </c:pt>
                <c:pt idx="3">
                  <c:v>0.13380822097315245</c:v>
                </c:pt>
                <c:pt idx="4">
                  <c:v>0.13013977101562765</c:v>
                </c:pt>
                <c:pt idx="5">
                  <c:v>0.12650691680694776</c:v>
                </c:pt>
                <c:pt idx="6">
                  <c:v>0.12291281462890677</c:v>
                </c:pt>
                <c:pt idx="7">
                  <c:v>0.119360965143551</c:v>
                </c:pt>
                <c:pt idx="8">
                  <c:v>0.11585525452045754</c:v>
                </c:pt>
                <c:pt idx="9">
                  <c:v>0.11239999999999997</c:v>
                </c:pt>
                <c:pt idx="10">
                  <c:v>0.10899999999999999</c:v>
                </c:pt>
                <c:pt idx="11">
                  <c:v>0.10566058867903394</c:v>
                </c:pt>
                <c:pt idx="12">
                  <c:v>0.10238769457312727</c:v>
                </c:pt>
                <c:pt idx="13">
                  <c:v>9.918790248815626E-2</c:v>
                </c:pt>
                <c:pt idx="14">
                  <c:v>9.6068517215578977E-2</c:v>
                </c:pt>
                <c:pt idx="15">
                  <c:v>9.3037626796904027E-2</c:v>
                </c:pt>
                <c:pt idx="16">
                  <c:v>9.0104161946049949E-2</c:v>
                </c:pt>
                <c:pt idx="17">
                  <c:v>8.7277946813613783E-2</c:v>
                </c:pt>
                <c:pt idx="18">
                  <c:v>8.4569734539018129E-2</c:v>
                </c:pt>
                <c:pt idx="19">
                  <c:v>8.1991219042041291E-2</c:v>
                </c:pt>
                <c:pt idx="20">
                  <c:v>7.9555012412795181E-2</c:v>
                </c:pt>
                <c:pt idx="21">
                  <c:v>7.7274575378969215E-2</c:v>
                </c:pt>
                <c:pt idx="22">
                  <c:v>7.5164087169339033E-2</c:v>
                </c:pt>
                <c:pt idx="23">
                  <c:v>7.3238241377029237E-2</c:v>
                </c:pt>
                <c:pt idx="24">
                  <c:v>7.1511957042161803E-2</c:v>
                </c:pt>
                <c:pt idx="25">
                  <c:v>6.9999999999999979E-2</c:v>
                </c:pt>
                <c:pt idx="26">
                  <c:v>6.8716519120223182E-2</c:v>
                </c:pt>
                <c:pt idx="27">
                  <c:v>6.7674515144181102E-2</c:v>
                </c:pt>
                <c:pt idx="28">
                  <c:v>6.6885274911597667E-2</c:v>
                </c:pt>
                <c:pt idx="29">
                  <c:v>6.6357817926752202E-2</c:v>
                </c:pt>
                <c:pt idx="30">
                  <c:v>6.6098411478642954E-2</c:v>
                </c:pt>
                <c:pt idx="31">
                  <c:v>6.6110211011613004E-2</c:v>
                </c:pt>
                <c:pt idx="32">
                  <c:v>6.6393071927724492E-2</c:v>
                </c:pt>
                <c:pt idx="33">
                  <c:v>6.6943558315942522E-2</c:v>
                </c:pt>
                <c:pt idx="34">
                  <c:v>6.7755147405935134E-2</c:v>
                </c:pt>
                <c:pt idx="35">
                  <c:v>6.8818602136341001E-2</c:v>
                </c:pt>
                <c:pt idx="36">
                  <c:v>7.012246430353114E-2</c:v>
                </c:pt>
                <c:pt idx="37">
                  <c:v>7.1653611213950683E-2</c:v>
                </c:pt>
                <c:pt idx="38">
                  <c:v>7.3397820131118327E-2</c:v>
                </c:pt>
                <c:pt idx="39">
                  <c:v>7.5340294663612778E-2</c:v>
                </c:pt>
                <c:pt idx="40">
                  <c:v>7.7466121627457252E-2</c:v>
                </c:pt>
                <c:pt idx="41">
                  <c:v>7.9760641923194181E-2</c:v>
                </c:pt>
                <c:pt idx="42">
                  <c:v>8.2209731784016915E-2</c:v>
                </c:pt>
                <c:pt idx="43">
                  <c:v>8.4800000000000014E-2</c:v>
                </c:pt>
                <c:pt idx="44">
                  <c:v>8.7518912241869196E-2</c:v>
                </c:pt>
                <c:pt idx="45">
                  <c:v>9.0354855984612167E-2</c:v>
                </c:pt>
                <c:pt idx="46">
                  <c:v>9.3297159656658385E-2</c:v>
                </c:pt>
                <c:pt idx="47">
                  <c:v>9.6336078392261784E-2</c:v>
                </c:pt>
                <c:pt idx="48">
                  <c:v>9.9462756848983466E-2</c:v>
                </c:pt>
                <c:pt idx="49">
                  <c:v>0.10266917745847587</c:v>
                </c:pt>
                <c:pt idx="50">
                  <c:v>0.1059481005020855</c:v>
                </c:pt>
                <c:pt idx="51">
                  <c:v>0.10929300069080368</c:v>
                </c:pt>
                <c:pt idx="52">
                  <c:v>0.11269800353156223</c:v>
                </c:pt>
                <c:pt idx="53">
                  <c:v>0.11615782367107269</c:v>
                </c:pt>
                <c:pt idx="54">
                  <c:v>0.11966770658786779</c:v>
                </c:pt>
                <c:pt idx="55">
                  <c:v>0.12322337440599498</c:v>
                </c:pt>
                <c:pt idx="56">
                  <c:v>0.1268209761829644</c:v>
                </c:pt>
                <c:pt idx="57">
                  <c:v>0.13045704273821335</c:v>
                </c:pt>
                <c:pt idx="58">
                  <c:v>0.13412844590168049</c:v>
                </c:pt>
                <c:pt idx="59">
                  <c:v>0.13783236194740345</c:v>
                </c:pt>
                <c:pt idx="60">
                  <c:v>0.14156623891309689</c:v>
                </c:pt>
                <c:pt idx="61">
                  <c:v>0.14532776747751971</c:v>
                </c:pt>
                <c:pt idx="62">
                  <c:v>0.14911485506145936</c:v>
                </c:pt>
                <c:pt idx="63">
                  <c:v>0.15292560282699572</c:v>
                </c:pt>
                <c:pt idx="64">
                  <c:v>0.15675828526747809</c:v>
                </c:pt>
                <c:pt idx="65">
                  <c:v>0.16061133210331097</c:v>
                </c:pt>
                <c:pt idx="66">
                  <c:v>0.16448331222345944</c:v>
                </c:pt>
                <c:pt idx="67">
                  <c:v>0.16837291943777671</c:v>
                </c:pt>
                <c:pt idx="68">
                  <c:v>0.17227895982969033</c:v>
                </c:pt>
                <c:pt idx="69">
                  <c:v>0.17620034052180505</c:v>
                </c:pt>
                <c:pt idx="70">
                  <c:v>0.18013605968822582</c:v>
                </c:pt>
                <c:pt idx="71">
                  <c:v>0.18408519766673273</c:v>
                </c:pt>
                <c:pt idx="72">
                  <c:v>0.18804690904133484</c:v>
                </c:pt>
                <c:pt idx="73">
                  <c:v>0.19202041558126071</c:v>
                </c:pt>
                <c:pt idx="74">
                  <c:v>0.1960049999362263</c:v>
                </c:pt>
                <c:pt idx="75">
                  <c:v>0.20000000000000015</c:v>
                </c:pt>
              </c:numCache>
            </c:numRef>
          </c:xVal>
          <c:yVal>
            <c:numRef>
              <c:f>Sheet1!$C$8:$C$83</c:f>
              <c:numCache>
                <c:formatCode>0.00%</c:formatCode>
                <c:ptCount val="76"/>
                <c:pt idx="0">
                  <c:v>1.5000000000000013E-2</c:v>
                </c:pt>
                <c:pt idx="1">
                  <c:v>1.6399999999999998E-2</c:v>
                </c:pt>
                <c:pt idx="2">
                  <c:v>1.7800000000000003E-2</c:v>
                </c:pt>
                <c:pt idx="3">
                  <c:v>1.9200000000000002E-2</c:v>
                </c:pt>
                <c:pt idx="4">
                  <c:v>2.0600000000000007E-2</c:v>
                </c:pt>
                <c:pt idx="5">
                  <c:v>2.2000000000000006E-2</c:v>
                </c:pt>
                <c:pt idx="6">
                  <c:v>2.3400000000000004E-2</c:v>
                </c:pt>
                <c:pt idx="7">
                  <c:v>2.480000000000001E-2</c:v>
                </c:pt>
                <c:pt idx="8">
                  <c:v>2.6200000000000008E-2</c:v>
                </c:pt>
                <c:pt idx="9">
                  <c:v>2.7600000000000006E-2</c:v>
                </c:pt>
                <c:pt idx="10">
                  <c:v>2.9000000000000012E-2</c:v>
                </c:pt>
                <c:pt idx="11">
                  <c:v>3.040000000000001E-2</c:v>
                </c:pt>
                <c:pt idx="12">
                  <c:v>3.1800000000000009E-2</c:v>
                </c:pt>
                <c:pt idx="13">
                  <c:v>3.3200000000000021E-2</c:v>
                </c:pt>
                <c:pt idx="14">
                  <c:v>3.460000000000002E-2</c:v>
                </c:pt>
                <c:pt idx="15">
                  <c:v>3.6000000000000018E-2</c:v>
                </c:pt>
                <c:pt idx="16">
                  <c:v>3.7400000000000017E-2</c:v>
                </c:pt>
                <c:pt idx="17">
                  <c:v>3.8800000000000008E-2</c:v>
                </c:pt>
                <c:pt idx="18">
                  <c:v>4.0200000000000007E-2</c:v>
                </c:pt>
                <c:pt idx="19">
                  <c:v>4.1600000000000005E-2</c:v>
                </c:pt>
                <c:pt idx="20">
                  <c:v>4.300000000000001E-2</c:v>
                </c:pt>
                <c:pt idx="21">
                  <c:v>4.4400000000000009E-2</c:v>
                </c:pt>
                <c:pt idx="22">
                  <c:v>4.5800000000000007E-2</c:v>
                </c:pt>
                <c:pt idx="23">
                  <c:v>4.7200000000000006E-2</c:v>
                </c:pt>
                <c:pt idx="24">
                  <c:v>4.8600000000000004E-2</c:v>
                </c:pt>
                <c:pt idx="25">
                  <c:v>0.05</c:v>
                </c:pt>
                <c:pt idx="26">
                  <c:v>5.1400000000000001E-2</c:v>
                </c:pt>
                <c:pt idx="27">
                  <c:v>5.28E-2</c:v>
                </c:pt>
                <c:pt idx="28">
                  <c:v>5.4199999999999998E-2</c:v>
                </c:pt>
                <c:pt idx="29">
                  <c:v>5.5599999999999997E-2</c:v>
                </c:pt>
                <c:pt idx="30">
                  <c:v>5.6999999999999995E-2</c:v>
                </c:pt>
                <c:pt idx="31">
                  <c:v>5.8400000000000001E-2</c:v>
                </c:pt>
                <c:pt idx="32">
                  <c:v>5.9799999999999992E-2</c:v>
                </c:pt>
                <c:pt idx="33">
                  <c:v>6.1199999999999991E-2</c:v>
                </c:pt>
                <c:pt idx="34">
                  <c:v>6.2599999999999989E-2</c:v>
                </c:pt>
                <c:pt idx="35">
                  <c:v>6.3999999999999987E-2</c:v>
                </c:pt>
                <c:pt idx="36">
                  <c:v>6.5399999999999986E-2</c:v>
                </c:pt>
                <c:pt idx="37">
                  <c:v>6.6799999999999984E-2</c:v>
                </c:pt>
                <c:pt idx="38">
                  <c:v>6.8199999999999983E-2</c:v>
                </c:pt>
                <c:pt idx="39">
                  <c:v>6.9599999999999995E-2</c:v>
                </c:pt>
                <c:pt idx="40">
                  <c:v>7.099999999999998E-2</c:v>
                </c:pt>
                <c:pt idx="41">
                  <c:v>7.2399999999999992E-2</c:v>
                </c:pt>
                <c:pt idx="42">
                  <c:v>7.3799999999999991E-2</c:v>
                </c:pt>
                <c:pt idx="43">
                  <c:v>7.5199999999999989E-2</c:v>
                </c:pt>
                <c:pt idx="44">
                  <c:v>7.6599999999999988E-2</c:v>
                </c:pt>
                <c:pt idx="45">
                  <c:v>7.7999999999999986E-2</c:v>
                </c:pt>
                <c:pt idx="46">
                  <c:v>7.9399999999999984E-2</c:v>
                </c:pt>
                <c:pt idx="47">
                  <c:v>8.0799999999999997E-2</c:v>
                </c:pt>
                <c:pt idx="48">
                  <c:v>8.2199999999999995E-2</c:v>
                </c:pt>
                <c:pt idx="49">
                  <c:v>8.3599999999999994E-2</c:v>
                </c:pt>
                <c:pt idx="50">
                  <c:v>8.4999999999999992E-2</c:v>
                </c:pt>
                <c:pt idx="51">
                  <c:v>8.6399999999999991E-2</c:v>
                </c:pt>
                <c:pt idx="52">
                  <c:v>8.7799999999999989E-2</c:v>
                </c:pt>
                <c:pt idx="53">
                  <c:v>8.9199999999999988E-2</c:v>
                </c:pt>
                <c:pt idx="54">
                  <c:v>9.06E-2</c:v>
                </c:pt>
                <c:pt idx="55">
                  <c:v>9.1999999999999998E-2</c:v>
                </c:pt>
                <c:pt idx="56">
                  <c:v>9.3399999999999997E-2</c:v>
                </c:pt>
                <c:pt idx="57">
                  <c:v>9.4799999999999995E-2</c:v>
                </c:pt>
                <c:pt idx="58">
                  <c:v>9.6199999999999994E-2</c:v>
                </c:pt>
                <c:pt idx="59">
                  <c:v>9.7600000000000006E-2</c:v>
                </c:pt>
                <c:pt idx="60">
                  <c:v>9.9000000000000005E-2</c:v>
                </c:pt>
                <c:pt idx="61">
                  <c:v>0.1004</c:v>
                </c:pt>
                <c:pt idx="62">
                  <c:v>0.1018</c:v>
                </c:pt>
                <c:pt idx="63">
                  <c:v>0.1032</c:v>
                </c:pt>
                <c:pt idx="64">
                  <c:v>0.10460000000000003</c:v>
                </c:pt>
                <c:pt idx="65">
                  <c:v>0.10600000000000001</c:v>
                </c:pt>
                <c:pt idx="66">
                  <c:v>0.10740000000000002</c:v>
                </c:pt>
                <c:pt idx="67">
                  <c:v>0.10880000000000002</c:v>
                </c:pt>
                <c:pt idx="68">
                  <c:v>0.11020000000000002</c:v>
                </c:pt>
                <c:pt idx="69">
                  <c:v>0.11160000000000003</c:v>
                </c:pt>
                <c:pt idx="70">
                  <c:v>0.11300000000000003</c:v>
                </c:pt>
                <c:pt idx="71">
                  <c:v>0.11440000000000003</c:v>
                </c:pt>
                <c:pt idx="72">
                  <c:v>0.11580000000000003</c:v>
                </c:pt>
                <c:pt idx="73">
                  <c:v>0.11720000000000003</c:v>
                </c:pt>
                <c:pt idx="74">
                  <c:v>0.11860000000000004</c:v>
                </c:pt>
                <c:pt idx="75">
                  <c:v>0.12000000000000002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C7-486F-9B1B-F85528A1D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4711823"/>
        <c:axId val="614707663"/>
      </c:scatterChart>
      <c:valAx>
        <c:axId val="6147118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Std(x)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14707663"/>
        <c:crosses val="autoZero"/>
        <c:crossBetween val="midCat"/>
      </c:valAx>
      <c:valAx>
        <c:axId val="614707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E(x)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147118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b="1"/>
              <a:t>Frontera</a:t>
            </a:r>
            <a:r>
              <a:rPr lang="es-CO" b="1" baseline="0"/>
              <a:t> Eficiente</a:t>
            </a:r>
            <a:endParaRPr lang="es-CO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 Assets'!$K$14:$K$30</c:f>
              <c:numCache>
                <c:formatCode>0.00%</c:formatCode>
                <c:ptCount val="17"/>
                <c:pt idx="0">
                  <c:v>5.5262740042640049E-2</c:v>
                </c:pt>
                <c:pt idx="1">
                  <c:v>5.2549124657505747E-2</c:v>
                </c:pt>
                <c:pt idx="2">
                  <c:v>5.6729623255396301E-2</c:v>
                </c:pt>
                <c:pt idx="3">
                  <c:v>6.874217186035729E-2</c:v>
                </c:pt>
                <c:pt idx="4">
                  <c:v>4.6755339731764003E-2</c:v>
                </c:pt>
                <c:pt idx="5">
                  <c:v>4.8775077406896475E-2</c:v>
                </c:pt>
                <c:pt idx="6">
                  <c:v>5.2305998624541779E-2</c:v>
                </c:pt>
                <c:pt idx="7">
                  <c:v>6.7590438331156549E-2</c:v>
                </c:pt>
                <c:pt idx="8">
                  <c:v>7.8751563961816456E-2</c:v>
                </c:pt>
                <c:pt idx="9">
                  <c:v>9.1177236167800046E-2</c:v>
                </c:pt>
                <c:pt idx="10">
                  <c:v>0.10441691053641412</c:v>
                </c:pt>
                <c:pt idx="11">
                  <c:v>0.11819736600193514</c:v>
                </c:pt>
                <c:pt idx="12">
                  <c:v>0.13235003325276204</c:v>
                </c:pt>
                <c:pt idx="13">
                  <c:v>0.13832667498731019</c:v>
                </c:pt>
                <c:pt idx="14">
                  <c:v>0.14586579308706712</c:v>
                </c:pt>
                <c:pt idx="15">
                  <c:v>0.15473934648013629</c:v>
                </c:pt>
                <c:pt idx="16">
                  <c:v>0.1647298770515061</c:v>
                </c:pt>
              </c:numCache>
            </c:numRef>
          </c:xVal>
          <c:yVal>
            <c:numRef>
              <c:f>'N Assets'!$J$14:$J$30</c:f>
              <c:numCache>
                <c:formatCode>0.00%</c:formatCode>
                <c:ptCount val="17"/>
                <c:pt idx="0">
                  <c:v>1.9999984376635839E-2</c:v>
                </c:pt>
                <c:pt idx="1">
                  <c:v>2.5000040040449902E-2</c:v>
                </c:pt>
                <c:pt idx="2">
                  <c:v>3.0000037151377338E-2</c:v>
                </c:pt>
                <c:pt idx="3">
                  <c:v>3.500008097198188E-2</c:v>
                </c:pt>
                <c:pt idx="4">
                  <c:v>4.0000002716851182E-2</c:v>
                </c:pt>
                <c:pt idx="5">
                  <c:v>4.5000079702775607E-2</c:v>
                </c:pt>
                <c:pt idx="6">
                  <c:v>5.0000047385793459E-2</c:v>
                </c:pt>
                <c:pt idx="7">
                  <c:v>6.0000150000138586E-2</c:v>
                </c:pt>
                <c:pt idx="8">
                  <c:v>6.5000112814415548E-2</c:v>
                </c:pt>
                <c:pt idx="9">
                  <c:v>7.0000130000114166E-2</c:v>
                </c:pt>
                <c:pt idx="10">
                  <c:v>7.5000142244432605E-2</c:v>
                </c:pt>
                <c:pt idx="11">
                  <c:v>8.0000150000147957E-2</c:v>
                </c:pt>
                <c:pt idx="12">
                  <c:v>8.5000240000299959E-2</c:v>
                </c:pt>
                <c:pt idx="13">
                  <c:v>9.0000170000249291E-2</c:v>
                </c:pt>
                <c:pt idx="14">
                  <c:v>9.5000085938639109E-2</c:v>
                </c:pt>
                <c:pt idx="15">
                  <c:v>0.1000002846551219</c:v>
                </c:pt>
                <c:pt idx="16">
                  <c:v>0.1050000993460322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5-4009-B4D3-A04C343BF8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3954047"/>
        <c:axId val="1753946143"/>
      </c:scatterChart>
      <c:valAx>
        <c:axId val="1753954047"/>
        <c:scaling>
          <c:orientation val="minMax"/>
          <c:max val="0.2"/>
          <c:min val="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b="1"/>
                  <a:t>Std.</a:t>
                </a:r>
                <a:r>
                  <a:rPr lang="es-CO" b="1" baseline="0"/>
                  <a:t> Desviation</a:t>
                </a:r>
                <a:endParaRPr lang="es-CO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53946143"/>
        <c:crosses val="autoZero"/>
        <c:crossBetween val="midCat"/>
        <c:majorUnit val="2.5000000000000005E-2"/>
        <c:minorUnit val="1.0000000000000003E-4"/>
      </c:valAx>
      <c:valAx>
        <c:axId val="1753946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b="1"/>
                  <a:t>Expected</a:t>
                </a:r>
                <a:r>
                  <a:rPr lang="es-CO" b="1" baseline="0"/>
                  <a:t> Return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53954047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ustomXml" Target="../ink/ink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320040</xdr:colOff>
      <xdr:row>4</xdr:row>
      <xdr:rowOff>95250</xdr:rowOff>
    </xdr:from>
    <xdr:to>
      <xdr:col>13</xdr:col>
      <xdr:colOff>114300</xdr:colOff>
      <xdr:row>21</xdr:row>
      <xdr:rowOff>129540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235320</xdr:colOff>
      <xdr:row>28</xdr:row>
      <xdr:rowOff>151800</xdr:rowOff>
    </xdr:from>
    <xdr:to>
      <xdr:col>1</xdr:col>
      <xdr:colOff>285000</xdr:colOff>
      <xdr:row>29</xdr:row>
      <xdr:rowOff>21840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14:cNvPr>
            <xdr14:cNvContentPartPr/>
          </xdr14:nvContentPartPr>
          <xdr14:nvPr macro=""/>
          <xdr14:xfrm>
            <a:off x="844920" y="5104800"/>
            <a:ext cx="49680" cy="5292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C493D819-CFE2-4101-BC7E-2BA42198D9A2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5920" y="5095800"/>
              <a:ext cx="67320" cy="705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167640</xdr:colOff>
      <xdr:row>7</xdr:row>
      <xdr:rowOff>125730</xdr:rowOff>
    </xdr:from>
    <xdr:to>
      <xdr:col>18</xdr:col>
      <xdr:colOff>472440</xdr:colOff>
      <xdr:row>22</xdr:row>
      <xdr:rowOff>80010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152400</xdr:colOff>
          <xdr:row>1</xdr:row>
          <xdr:rowOff>167640</xdr:rowOff>
        </xdr:from>
        <xdr:to>
          <xdr:col>14</xdr:col>
          <xdr:colOff>563880</xdr:colOff>
          <xdr:row>4</xdr:row>
          <xdr:rowOff>114300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Frontera Eficiente</a:t>
              </a:r>
            </a:p>
          </xdr:txBody>
        </xdr:sp>
        <xdr:clientData fPrintsWithSheet="0"/>
      </xdr:twoCellAnchor>
    </mc:Choice>
    <mc:Fallback/>
  </mc:AlternateContent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9-27T14:48:43.75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2060,'21'37'8440,"0"2"-5775,-17-35-2474,0 0 1,1 0 0,-1-1 0,1 0-1,0 1 1,9 4 0,-9-6-333,0 0 0,-1 1 0,1 0 0,-1 0 0,0 0 0,0 1 0,0 0 0,4 5 0,4-2-2454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75C42-3730-4CCA-BD33-C8D9D658C8E6}">
  <sheetPr codeName="Sheet2"/>
  <dimension ref="A1:G83"/>
  <sheetViews>
    <sheetView showGridLines="0" tabSelected="1" workbookViewId="0">
      <selection activeCell="D8" sqref="D8"/>
    </sheetView>
  </sheetViews>
  <sheetFormatPr defaultRowHeight="14.4" x14ac:dyDescent="0.3"/>
  <cols>
    <col min="1" max="2" width="8.88671875" style="1"/>
    <col min="3" max="3" width="9.33203125" style="2" bestFit="1" customWidth="1"/>
    <col min="4" max="4" width="11.5546875" style="2" bestFit="1" customWidth="1"/>
    <col min="5" max="16384" width="8.88671875" style="1"/>
  </cols>
  <sheetData>
    <row r="1" spans="1:7" ht="15" thickBot="1" x14ac:dyDescent="0.35">
      <c r="A1" s="5" t="s">
        <v>8</v>
      </c>
      <c r="B1" s="6" t="s">
        <v>2</v>
      </c>
      <c r="C1" s="7" t="s">
        <v>3</v>
      </c>
    </row>
    <row r="2" spans="1:7" x14ac:dyDescent="0.3">
      <c r="A2" s="4" t="s">
        <v>0</v>
      </c>
      <c r="B2" s="1">
        <v>0.12</v>
      </c>
      <c r="C2" s="2">
        <v>0.2</v>
      </c>
    </row>
    <row r="3" spans="1:7" ht="15" thickBot="1" x14ac:dyDescent="0.35">
      <c r="A3" s="8" t="s">
        <v>1</v>
      </c>
      <c r="B3" s="9">
        <v>0.05</v>
      </c>
      <c r="C3" s="10">
        <v>7.0000000000000007E-2</v>
      </c>
    </row>
    <row r="5" spans="1:7" ht="15" thickBot="1" x14ac:dyDescent="0.35">
      <c r="A5" s="5" t="s">
        <v>4</v>
      </c>
      <c r="B5" s="11">
        <v>0</v>
      </c>
    </row>
    <row r="7" spans="1:7" ht="15" thickBot="1" x14ac:dyDescent="0.35">
      <c r="A7" s="5" t="s">
        <v>5</v>
      </c>
      <c r="B7" s="6" t="s">
        <v>6</v>
      </c>
      <c r="C7" s="7" t="s">
        <v>7</v>
      </c>
      <c r="D7" s="7" t="s">
        <v>9</v>
      </c>
    </row>
    <row r="8" spans="1:7" x14ac:dyDescent="0.3">
      <c r="A8" s="1">
        <v>-0.5</v>
      </c>
      <c r="B8" s="1">
        <v>1.5</v>
      </c>
      <c r="C8" s="2">
        <f t="shared" ref="C8:C71" si="0">A8*$B$2+B8*$B$3</f>
        <v>1.5000000000000013E-2</v>
      </c>
      <c r="D8" s="2">
        <f>SQRT(A8^2*$C$2^2+B8^2*$C$3^2+2*B8*A8*$C$2*$C$3*$B$5)</f>
        <v>0.14500000000000002</v>
      </c>
      <c r="G8" s="3"/>
    </row>
    <row r="9" spans="1:7" x14ac:dyDescent="0.3">
      <c r="A9" s="12">
        <v>-0.48</v>
      </c>
      <c r="B9" s="12">
        <f>B8-2%</f>
        <v>1.48</v>
      </c>
      <c r="C9" s="13">
        <f t="shared" si="0"/>
        <v>1.6399999999999998E-2</v>
      </c>
      <c r="D9" s="13">
        <f t="shared" ref="D9:D72" si="1">SQRT(A9^2*$C$2^2+B9^2*$C$3^2+2*B9*A9*$C$2*$C$3*$B$5)</f>
        <v>0.14124078731018178</v>
      </c>
    </row>
    <row r="10" spans="1:7" x14ac:dyDescent="0.3">
      <c r="A10" s="12">
        <f>A9+2%</f>
        <v>-0.45999999999999996</v>
      </c>
      <c r="B10" s="12">
        <f t="shared" ref="B10:B73" si="2">B9-2%</f>
        <v>1.46</v>
      </c>
      <c r="C10" s="13">
        <f t="shared" si="0"/>
        <v>1.7800000000000003E-2</v>
      </c>
      <c r="D10" s="13">
        <f t="shared" si="1"/>
        <v>0.137509417859287</v>
      </c>
    </row>
    <row r="11" spans="1:7" x14ac:dyDescent="0.3">
      <c r="A11" s="12">
        <f t="shared" ref="A11:A74" si="3">A10+2%</f>
        <v>-0.43999999999999995</v>
      </c>
      <c r="B11" s="12">
        <f t="shared" si="2"/>
        <v>1.44</v>
      </c>
      <c r="C11" s="13">
        <f t="shared" si="0"/>
        <v>1.9200000000000002E-2</v>
      </c>
      <c r="D11" s="13">
        <f t="shared" si="1"/>
        <v>0.13380822097315245</v>
      </c>
    </row>
    <row r="12" spans="1:7" x14ac:dyDescent="0.3">
      <c r="A12" s="12">
        <f t="shared" si="3"/>
        <v>-0.41999999999999993</v>
      </c>
      <c r="B12" s="12">
        <f t="shared" si="2"/>
        <v>1.42</v>
      </c>
      <c r="C12" s="13">
        <f t="shared" si="0"/>
        <v>2.0600000000000007E-2</v>
      </c>
      <c r="D12" s="13">
        <f t="shared" si="1"/>
        <v>0.13013977101562765</v>
      </c>
    </row>
    <row r="13" spans="1:7" x14ac:dyDescent="0.3">
      <c r="A13" s="12">
        <f t="shared" si="3"/>
        <v>-0.39999999999999991</v>
      </c>
      <c r="B13" s="12">
        <f t="shared" si="2"/>
        <v>1.4</v>
      </c>
      <c r="C13" s="13">
        <f t="shared" si="0"/>
        <v>2.2000000000000006E-2</v>
      </c>
      <c r="D13" s="13">
        <f t="shared" si="1"/>
        <v>0.12650691680694776</v>
      </c>
    </row>
    <row r="14" spans="1:7" x14ac:dyDescent="0.3">
      <c r="A14" s="12">
        <f t="shared" si="3"/>
        <v>-0.37999999999999989</v>
      </c>
      <c r="B14" s="12">
        <f t="shared" si="2"/>
        <v>1.38</v>
      </c>
      <c r="C14" s="13">
        <f t="shared" si="0"/>
        <v>2.3400000000000004E-2</v>
      </c>
      <c r="D14" s="13">
        <f t="shared" si="1"/>
        <v>0.12291281462890677</v>
      </c>
    </row>
    <row r="15" spans="1:7" x14ac:dyDescent="0.3">
      <c r="A15" s="12">
        <f t="shared" si="3"/>
        <v>-0.35999999999999988</v>
      </c>
      <c r="B15" s="12">
        <f t="shared" si="2"/>
        <v>1.3599999999999999</v>
      </c>
      <c r="C15" s="13">
        <f t="shared" si="0"/>
        <v>2.480000000000001E-2</v>
      </c>
      <c r="D15" s="13">
        <f t="shared" si="1"/>
        <v>0.119360965143551</v>
      </c>
    </row>
    <row r="16" spans="1:7" x14ac:dyDescent="0.3">
      <c r="A16" s="12">
        <f t="shared" si="3"/>
        <v>-0.33999999999999986</v>
      </c>
      <c r="B16" s="12">
        <f t="shared" si="2"/>
        <v>1.3399999999999999</v>
      </c>
      <c r="C16" s="13">
        <f t="shared" si="0"/>
        <v>2.6200000000000008E-2</v>
      </c>
      <c r="D16" s="13">
        <f t="shared" si="1"/>
        <v>0.11585525452045754</v>
      </c>
    </row>
    <row r="17" spans="1:4" x14ac:dyDescent="0.3">
      <c r="A17" s="12">
        <f t="shared" si="3"/>
        <v>-0.31999999999999984</v>
      </c>
      <c r="B17" s="12">
        <f t="shared" si="2"/>
        <v>1.3199999999999998</v>
      </c>
      <c r="C17" s="13">
        <f t="shared" si="0"/>
        <v>2.7600000000000006E-2</v>
      </c>
      <c r="D17" s="13">
        <f t="shared" si="1"/>
        <v>0.11239999999999997</v>
      </c>
    </row>
    <row r="18" spans="1:4" x14ac:dyDescent="0.3">
      <c r="A18" s="12">
        <f t="shared" si="3"/>
        <v>-0.29999999999999982</v>
      </c>
      <c r="B18" s="12">
        <f t="shared" si="2"/>
        <v>1.2999999999999998</v>
      </c>
      <c r="C18" s="13">
        <f t="shared" si="0"/>
        <v>2.9000000000000012E-2</v>
      </c>
      <c r="D18" s="13">
        <f t="shared" si="1"/>
        <v>0.10899999999999999</v>
      </c>
    </row>
    <row r="19" spans="1:4" x14ac:dyDescent="0.3">
      <c r="A19" s="12">
        <f t="shared" si="3"/>
        <v>-0.2799999999999998</v>
      </c>
      <c r="B19" s="12">
        <f t="shared" si="2"/>
        <v>1.2799999999999998</v>
      </c>
      <c r="C19" s="13">
        <f t="shared" si="0"/>
        <v>3.040000000000001E-2</v>
      </c>
      <c r="D19" s="13">
        <f t="shared" si="1"/>
        <v>0.10566058867903394</v>
      </c>
    </row>
    <row r="20" spans="1:4" x14ac:dyDescent="0.3">
      <c r="A20" s="12">
        <f t="shared" si="3"/>
        <v>-0.25999999999999979</v>
      </c>
      <c r="B20" s="12">
        <f t="shared" si="2"/>
        <v>1.2599999999999998</v>
      </c>
      <c r="C20" s="13">
        <f t="shared" si="0"/>
        <v>3.1800000000000009E-2</v>
      </c>
      <c r="D20" s="13">
        <f t="shared" si="1"/>
        <v>0.10238769457312727</v>
      </c>
    </row>
    <row r="21" spans="1:4" x14ac:dyDescent="0.3">
      <c r="A21" s="12">
        <f t="shared" si="3"/>
        <v>-0.2399999999999998</v>
      </c>
      <c r="B21" s="12">
        <f t="shared" si="2"/>
        <v>1.2399999999999998</v>
      </c>
      <c r="C21" s="13">
        <f t="shared" si="0"/>
        <v>3.3200000000000021E-2</v>
      </c>
      <c r="D21" s="13">
        <f t="shared" si="1"/>
        <v>9.918790248815626E-2</v>
      </c>
    </row>
    <row r="22" spans="1:4" x14ac:dyDescent="0.3">
      <c r="A22" s="12">
        <f t="shared" si="3"/>
        <v>-0.21999999999999981</v>
      </c>
      <c r="B22" s="12">
        <f t="shared" si="2"/>
        <v>1.2199999999999998</v>
      </c>
      <c r="C22" s="13">
        <f t="shared" si="0"/>
        <v>3.460000000000002E-2</v>
      </c>
      <c r="D22" s="13">
        <f t="shared" si="1"/>
        <v>9.6068517215578977E-2</v>
      </c>
    </row>
    <row r="23" spans="1:4" x14ac:dyDescent="0.3">
      <c r="A23" s="12">
        <f t="shared" si="3"/>
        <v>-0.19999999999999982</v>
      </c>
      <c r="B23" s="12">
        <f t="shared" si="2"/>
        <v>1.1999999999999997</v>
      </c>
      <c r="C23" s="13">
        <f t="shared" si="0"/>
        <v>3.6000000000000018E-2</v>
      </c>
      <c r="D23" s="13">
        <f t="shared" si="1"/>
        <v>9.3037626796904027E-2</v>
      </c>
    </row>
    <row r="24" spans="1:4" x14ac:dyDescent="0.3">
      <c r="A24" s="12">
        <f t="shared" si="3"/>
        <v>-0.17999999999999983</v>
      </c>
      <c r="B24" s="12">
        <f t="shared" si="2"/>
        <v>1.1799999999999997</v>
      </c>
      <c r="C24" s="13">
        <f t="shared" si="0"/>
        <v>3.7400000000000017E-2</v>
      </c>
      <c r="D24" s="13">
        <f t="shared" si="1"/>
        <v>9.0104161946049949E-2</v>
      </c>
    </row>
    <row r="25" spans="1:4" x14ac:dyDescent="0.3">
      <c r="A25" s="12">
        <f t="shared" si="3"/>
        <v>-0.15999999999999984</v>
      </c>
      <c r="B25" s="12">
        <f t="shared" si="2"/>
        <v>1.1599999999999997</v>
      </c>
      <c r="C25" s="13">
        <f t="shared" si="0"/>
        <v>3.8800000000000008E-2</v>
      </c>
      <c r="D25" s="13">
        <f t="shared" si="1"/>
        <v>8.7277946813613783E-2</v>
      </c>
    </row>
    <row r="26" spans="1:4" x14ac:dyDescent="0.3">
      <c r="A26" s="12">
        <f>A25+2%</f>
        <v>-0.13999999999999985</v>
      </c>
      <c r="B26" s="12">
        <f t="shared" si="2"/>
        <v>1.1399999999999997</v>
      </c>
      <c r="C26" s="13">
        <f t="shared" si="0"/>
        <v>4.0200000000000007E-2</v>
      </c>
      <c r="D26" s="13">
        <f t="shared" si="1"/>
        <v>8.4569734539018129E-2</v>
      </c>
    </row>
    <row r="27" spans="1:4" x14ac:dyDescent="0.3">
      <c r="A27" s="12">
        <f t="shared" si="3"/>
        <v>-0.11999999999999984</v>
      </c>
      <c r="B27" s="12">
        <f t="shared" si="2"/>
        <v>1.1199999999999997</v>
      </c>
      <c r="C27" s="13">
        <f t="shared" si="0"/>
        <v>4.1600000000000005E-2</v>
      </c>
      <c r="D27" s="13">
        <f t="shared" si="1"/>
        <v>8.1991219042041291E-2</v>
      </c>
    </row>
    <row r="28" spans="1:4" x14ac:dyDescent="0.3">
      <c r="A28" s="12">
        <f t="shared" si="3"/>
        <v>-9.9999999999999839E-2</v>
      </c>
      <c r="B28" s="12">
        <f t="shared" si="2"/>
        <v>1.0999999999999996</v>
      </c>
      <c r="C28" s="13">
        <f t="shared" si="0"/>
        <v>4.300000000000001E-2</v>
      </c>
      <c r="D28" s="13">
        <f t="shared" si="1"/>
        <v>7.9555012412795181E-2</v>
      </c>
    </row>
    <row r="29" spans="1:4" x14ac:dyDescent="0.3">
      <c r="A29" s="12">
        <f t="shared" si="3"/>
        <v>-7.9999999999999835E-2</v>
      </c>
      <c r="B29" s="12">
        <f t="shared" si="2"/>
        <v>1.0799999999999996</v>
      </c>
      <c r="C29" s="13">
        <f t="shared" si="0"/>
        <v>4.4400000000000009E-2</v>
      </c>
      <c r="D29" s="13">
        <f t="shared" si="1"/>
        <v>7.7274575378969215E-2</v>
      </c>
    </row>
    <row r="30" spans="1:4" x14ac:dyDescent="0.3">
      <c r="A30" s="12">
        <f t="shared" si="3"/>
        <v>-5.9999999999999831E-2</v>
      </c>
      <c r="B30" s="12">
        <f t="shared" si="2"/>
        <v>1.0599999999999996</v>
      </c>
      <c r="C30" s="13">
        <f t="shared" si="0"/>
        <v>4.5800000000000007E-2</v>
      </c>
      <c r="D30" s="13">
        <f t="shared" si="1"/>
        <v>7.5164087169339033E-2</v>
      </c>
    </row>
    <row r="31" spans="1:4" x14ac:dyDescent="0.3">
      <c r="A31" s="12">
        <f t="shared" si="3"/>
        <v>-3.9999999999999827E-2</v>
      </c>
      <c r="B31" s="12">
        <f t="shared" si="2"/>
        <v>1.0399999999999996</v>
      </c>
      <c r="C31" s="13">
        <f t="shared" si="0"/>
        <v>4.7200000000000006E-2</v>
      </c>
      <c r="D31" s="13">
        <f t="shared" si="1"/>
        <v>7.3238241377029237E-2</v>
      </c>
    </row>
    <row r="32" spans="1:4" x14ac:dyDescent="0.3">
      <c r="A32" s="12">
        <f t="shared" si="3"/>
        <v>-1.9999999999999827E-2</v>
      </c>
      <c r="B32" s="12">
        <f t="shared" si="2"/>
        <v>1.0199999999999996</v>
      </c>
      <c r="C32" s="13">
        <f t="shared" si="0"/>
        <v>4.8600000000000004E-2</v>
      </c>
      <c r="D32" s="13">
        <f t="shared" si="1"/>
        <v>7.1511957042161803E-2</v>
      </c>
    </row>
    <row r="33" spans="1:4" x14ac:dyDescent="0.3">
      <c r="A33" s="12">
        <f t="shared" si="3"/>
        <v>1.7347234759768071E-16</v>
      </c>
      <c r="B33" s="12">
        <f t="shared" si="2"/>
        <v>0.99999999999999956</v>
      </c>
      <c r="C33" s="13">
        <f t="shared" si="0"/>
        <v>0.05</v>
      </c>
      <c r="D33" s="13">
        <f t="shared" si="1"/>
        <v>6.9999999999999979E-2</v>
      </c>
    </row>
    <row r="34" spans="1:4" x14ac:dyDescent="0.3">
      <c r="A34" s="12">
        <f>A33+2%</f>
        <v>2.0000000000000174E-2</v>
      </c>
      <c r="B34" s="12">
        <f t="shared" si="2"/>
        <v>0.97999999999999954</v>
      </c>
      <c r="C34" s="13">
        <f t="shared" si="0"/>
        <v>5.1400000000000001E-2</v>
      </c>
      <c r="D34" s="13">
        <f t="shared" si="1"/>
        <v>6.8716519120223182E-2</v>
      </c>
    </row>
    <row r="35" spans="1:4" x14ac:dyDescent="0.3">
      <c r="A35" s="12">
        <f t="shared" si="3"/>
        <v>4.0000000000000174E-2</v>
      </c>
      <c r="B35" s="12">
        <f t="shared" si="2"/>
        <v>0.95999999999999952</v>
      </c>
      <c r="C35" s="13">
        <f t="shared" si="0"/>
        <v>5.28E-2</v>
      </c>
      <c r="D35" s="13">
        <f t="shared" si="1"/>
        <v>6.7674515144181102E-2</v>
      </c>
    </row>
    <row r="36" spans="1:4" x14ac:dyDescent="0.3">
      <c r="A36" s="12">
        <f t="shared" si="3"/>
        <v>6.0000000000000178E-2</v>
      </c>
      <c r="B36" s="12">
        <f t="shared" si="2"/>
        <v>0.9399999999999995</v>
      </c>
      <c r="C36" s="13">
        <f t="shared" si="0"/>
        <v>5.4199999999999998E-2</v>
      </c>
      <c r="D36" s="13">
        <f t="shared" si="1"/>
        <v>6.6885274911597667E-2</v>
      </c>
    </row>
    <row r="37" spans="1:4" x14ac:dyDescent="0.3">
      <c r="A37" s="12">
        <f t="shared" si="3"/>
        <v>8.0000000000000182E-2</v>
      </c>
      <c r="B37" s="12">
        <f t="shared" si="2"/>
        <v>0.91999999999999948</v>
      </c>
      <c r="C37" s="13">
        <f t="shared" si="0"/>
        <v>5.5599999999999997E-2</v>
      </c>
      <c r="D37" s="13">
        <f t="shared" si="1"/>
        <v>6.6357817926752202E-2</v>
      </c>
    </row>
    <row r="38" spans="1:4" x14ac:dyDescent="0.3">
      <c r="A38" s="12">
        <f t="shared" si="3"/>
        <v>0.10000000000000019</v>
      </c>
      <c r="B38" s="12">
        <f t="shared" si="2"/>
        <v>0.89999999999999947</v>
      </c>
      <c r="C38" s="13">
        <f t="shared" si="0"/>
        <v>5.6999999999999995E-2</v>
      </c>
      <c r="D38" s="13">
        <f t="shared" si="1"/>
        <v>6.6098411478642954E-2</v>
      </c>
    </row>
    <row r="39" spans="1:4" x14ac:dyDescent="0.3">
      <c r="A39" s="12">
        <f t="shared" si="3"/>
        <v>0.12000000000000019</v>
      </c>
      <c r="B39" s="12">
        <f t="shared" si="2"/>
        <v>0.87999999999999945</v>
      </c>
      <c r="C39" s="13">
        <f t="shared" si="0"/>
        <v>5.8400000000000001E-2</v>
      </c>
      <c r="D39" s="13">
        <f t="shared" si="1"/>
        <v>6.6110211011613004E-2</v>
      </c>
    </row>
    <row r="40" spans="1:4" x14ac:dyDescent="0.3">
      <c r="A40" s="12">
        <f t="shared" si="3"/>
        <v>0.14000000000000018</v>
      </c>
      <c r="B40" s="12">
        <f t="shared" si="2"/>
        <v>0.85999999999999943</v>
      </c>
      <c r="C40" s="13">
        <f t="shared" si="0"/>
        <v>5.9799999999999992E-2</v>
      </c>
      <c r="D40" s="13">
        <f t="shared" si="1"/>
        <v>6.6393071927724492E-2</v>
      </c>
    </row>
    <row r="41" spans="1:4" x14ac:dyDescent="0.3">
      <c r="A41" s="12">
        <f t="shared" si="3"/>
        <v>0.16000000000000017</v>
      </c>
      <c r="B41" s="12">
        <f t="shared" si="2"/>
        <v>0.83999999999999941</v>
      </c>
      <c r="C41" s="13">
        <f t="shared" si="0"/>
        <v>6.1199999999999991E-2</v>
      </c>
      <c r="D41" s="13">
        <f t="shared" si="1"/>
        <v>6.6943558315942522E-2</v>
      </c>
    </row>
    <row r="42" spans="1:4" x14ac:dyDescent="0.3">
      <c r="A42" s="12">
        <f t="shared" si="3"/>
        <v>0.18000000000000016</v>
      </c>
      <c r="B42" s="12">
        <f t="shared" si="2"/>
        <v>0.8199999999999994</v>
      </c>
      <c r="C42" s="13">
        <f t="shared" si="0"/>
        <v>6.2599999999999989E-2</v>
      </c>
      <c r="D42" s="13">
        <f t="shared" si="1"/>
        <v>6.7755147405935134E-2</v>
      </c>
    </row>
    <row r="43" spans="1:4" x14ac:dyDescent="0.3">
      <c r="A43" s="12">
        <f t="shared" si="3"/>
        <v>0.20000000000000015</v>
      </c>
      <c r="B43" s="12">
        <f t="shared" si="2"/>
        <v>0.79999999999999938</v>
      </c>
      <c r="C43" s="13">
        <f t="shared" si="0"/>
        <v>6.3999999999999987E-2</v>
      </c>
      <c r="D43" s="13">
        <f t="shared" si="1"/>
        <v>6.8818602136341001E-2</v>
      </c>
    </row>
    <row r="44" spans="1:4" x14ac:dyDescent="0.3">
      <c r="A44" s="12">
        <f t="shared" si="3"/>
        <v>0.22000000000000014</v>
      </c>
      <c r="B44" s="12">
        <f t="shared" si="2"/>
        <v>0.77999999999999936</v>
      </c>
      <c r="C44" s="13">
        <f t="shared" si="0"/>
        <v>6.5399999999999986E-2</v>
      </c>
      <c r="D44" s="13">
        <f t="shared" si="1"/>
        <v>7.012246430353114E-2</v>
      </c>
    </row>
    <row r="45" spans="1:4" x14ac:dyDescent="0.3">
      <c r="A45" s="12">
        <f t="shared" si="3"/>
        <v>0.24000000000000013</v>
      </c>
      <c r="B45" s="12">
        <f t="shared" si="2"/>
        <v>0.75999999999999934</v>
      </c>
      <c r="C45" s="13">
        <f t="shared" si="0"/>
        <v>6.6799999999999984E-2</v>
      </c>
      <c r="D45" s="13">
        <f t="shared" si="1"/>
        <v>7.1653611213950683E-2</v>
      </c>
    </row>
    <row r="46" spans="1:4" x14ac:dyDescent="0.3">
      <c r="A46" s="12">
        <f t="shared" si="3"/>
        <v>0.26000000000000012</v>
      </c>
      <c r="B46" s="12">
        <f t="shared" si="2"/>
        <v>0.73999999999999932</v>
      </c>
      <c r="C46" s="13">
        <f t="shared" si="0"/>
        <v>6.8199999999999983E-2</v>
      </c>
      <c r="D46" s="13">
        <f t="shared" si="1"/>
        <v>7.3397820131118327E-2</v>
      </c>
    </row>
    <row r="47" spans="1:4" x14ac:dyDescent="0.3">
      <c r="A47" s="12">
        <f t="shared" si="3"/>
        <v>0.28000000000000014</v>
      </c>
      <c r="B47" s="12">
        <f t="shared" si="2"/>
        <v>0.71999999999999931</v>
      </c>
      <c r="C47" s="13">
        <f t="shared" si="0"/>
        <v>6.9599999999999995E-2</v>
      </c>
      <c r="D47" s="13">
        <f t="shared" si="1"/>
        <v>7.5340294663612778E-2</v>
      </c>
    </row>
    <row r="48" spans="1:4" x14ac:dyDescent="0.3">
      <c r="A48" s="12">
        <f t="shared" si="3"/>
        <v>0.30000000000000016</v>
      </c>
      <c r="B48" s="12">
        <f t="shared" si="2"/>
        <v>0.69999999999999929</v>
      </c>
      <c r="C48" s="13">
        <f t="shared" si="0"/>
        <v>7.099999999999998E-2</v>
      </c>
      <c r="D48" s="13">
        <f t="shared" si="1"/>
        <v>7.7466121627457252E-2</v>
      </c>
    </row>
    <row r="49" spans="1:4" x14ac:dyDescent="0.3">
      <c r="A49" s="12">
        <f t="shared" si="3"/>
        <v>0.32000000000000017</v>
      </c>
      <c r="B49" s="12">
        <f t="shared" si="2"/>
        <v>0.67999999999999927</v>
      </c>
      <c r="C49" s="13">
        <f t="shared" si="0"/>
        <v>7.2399999999999992E-2</v>
      </c>
      <c r="D49" s="13">
        <f t="shared" si="1"/>
        <v>7.9760641923194181E-2</v>
      </c>
    </row>
    <row r="50" spans="1:4" x14ac:dyDescent="0.3">
      <c r="A50" s="12">
        <f>A49+2%</f>
        <v>0.34000000000000019</v>
      </c>
      <c r="B50" s="12">
        <f t="shared" si="2"/>
        <v>0.65999999999999925</v>
      </c>
      <c r="C50" s="13">
        <f t="shared" si="0"/>
        <v>7.3799999999999991E-2</v>
      </c>
      <c r="D50" s="13">
        <f t="shared" si="1"/>
        <v>8.2209731784016915E-2</v>
      </c>
    </row>
    <row r="51" spans="1:4" x14ac:dyDescent="0.3">
      <c r="A51" s="12">
        <f t="shared" si="3"/>
        <v>0.36000000000000021</v>
      </c>
      <c r="B51" s="12">
        <f t="shared" si="2"/>
        <v>0.63999999999999924</v>
      </c>
      <c r="C51" s="13">
        <f t="shared" si="0"/>
        <v>7.5199999999999989E-2</v>
      </c>
      <c r="D51" s="13">
        <f t="shared" si="1"/>
        <v>8.4800000000000014E-2</v>
      </c>
    </row>
    <row r="52" spans="1:4" x14ac:dyDescent="0.3">
      <c r="A52" s="12">
        <f t="shared" si="3"/>
        <v>0.38000000000000023</v>
      </c>
      <c r="B52" s="12">
        <f t="shared" si="2"/>
        <v>0.61999999999999922</v>
      </c>
      <c r="C52" s="13">
        <f t="shared" si="0"/>
        <v>7.6599999999999988E-2</v>
      </c>
      <c r="D52" s="13">
        <f t="shared" si="1"/>
        <v>8.7518912241869196E-2</v>
      </c>
    </row>
    <row r="53" spans="1:4" x14ac:dyDescent="0.3">
      <c r="A53" s="12">
        <f t="shared" si="3"/>
        <v>0.40000000000000024</v>
      </c>
      <c r="B53" s="12">
        <f t="shared" si="2"/>
        <v>0.5999999999999992</v>
      </c>
      <c r="C53" s="13">
        <f t="shared" si="0"/>
        <v>7.7999999999999986E-2</v>
      </c>
      <c r="D53" s="13">
        <f t="shared" si="1"/>
        <v>9.0354855984612167E-2</v>
      </c>
    </row>
    <row r="54" spans="1:4" x14ac:dyDescent="0.3">
      <c r="A54" s="12">
        <f t="shared" si="3"/>
        <v>0.42000000000000026</v>
      </c>
      <c r="B54" s="12">
        <f t="shared" si="2"/>
        <v>0.57999999999999918</v>
      </c>
      <c r="C54" s="13">
        <f t="shared" si="0"/>
        <v>7.9399999999999984E-2</v>
      </c>
      <c r="D54" s="13">
        <f t="shared" si="1"/>
        <v>9.3297159656658385E-2</v>
      </c>
    </row>
    <row r="55" spans="1:4" x14ac:dyDescent="0.3">
      <c r="A55" s="12">
        <f t="shared" si="3"/>
        <v>0.44000000000000028</v>
      </c>
      <c r="B55" s="12">
        <f t="shared" si="2"/>
        <v>0.55999999999999917</v>
      </c>
      <c r="C55" s="13">
        <f t="shared" si="0"/>
        <v>8.0799999999999997E-2</v>
      </c>
      <c r="D55" s="13">
        <f t="shared" si="1"/>
        <v>9.6336078392261784E-2</v>
      </c>
    </row>
    <row r="56" spans="1:4" x14ac:dyDescent="0.3">
      <c r="A56" s="12">
        <f t="shared" si="3"/>
        <v>0.4600000000000003</v>
      </c>
      <c r="B56" s="12">
        <f t="shared" si="2"/>
        <v>0.53999999999999915</v>
      </c>
      <c r="C56" s="13">
        <f t="shared" si="0"/>
        <v>8.2199999999999995E-2</v>
      </c>
      <c r="D56" s="13">
        <f t="shared" si="1"/>
        <v>9.9462756848983466E-2</v>
      </c>
    </row>
    <row r="57" spans="1:4" x14ac:dyDescent="0.3">
      <c r="A57" s="12">
        <f t="shared" si="3"/>
        <v>0.48000000000000032</v>
      </c>
      <c r="B57" s="12">
        <f t="shared" si="2"/>
        <v>0.51999999999999913</v>
      </c>
      <c r="C57" s="13">
        <f t="shared" si="0"/>
        <v>8.3599999999999994E-2</v>
      </c>
      <c r="D57" s="13">
        <f t="shared" si="1"/>
        <v>0.10266917745847587</v>
      </c>
    </row>
    <row r="58" spans="1:4" x14ac:dyDescent="0.3">
      <c r="A58" s="12">
        <f t="shared" si="3"/>
        <v>0.50000000000000033</v>
      </c>
      <c r="B58" s="12">
        <f t="shared" si="2"/>
        <v>0.49999999999999911</v>
      </c>
      <c r="C58" s="13">
        <f t="shared" si="0"/>
        <v>8.4999999999999992E-2</v>
      </c>
      <c r="D58" s="13">
        <f t="shared" si="1"/>
        <v>0.1059481005020855</v>
      </c>
    </row>
    <row r="59" spans="1:4" x14ac:dyDescent="0.3">
      <c r="A59" s="12">
        <f t="shared" si="3"/>
        <v>0.52000000000000035</v>
      </c>
      <c r="B59" s="12">
        <f t="shared" si="2"/>
        <v>0.47999999999999909</v>
      </c>
      <c r="C59" s="13">
        <f t="shared" si="0"/>
        <v>8.6399999999999991E-2</v>
      </c>
      <c r="D59" s="13">
        <f t="shared" si="1"/>
        <v>0.10929300069080368</v>
      </c>
    </row>
    <row r="60" spans="1:4" x14ac:dyDescent="0.3">
      <c r="A60" s="12">
        <f t="shared" si="3"/>
        <v>0.54000000000000037</v>
      </c>
      <c r="B60" s="12">
        <f t="shared" si="2"/>
        <v>0.45999999999999908</v>
      </c>
      <c r="C60" s="13">
        <f t="shared" si="0"/>
        <v>8.7799999999999989E-2</v>
      </c>
      <c r="D60" s="13">
        <f t="shared" si="1"/>
        <v>0.11269800353156223</v>
      </c>
    </row>
    <row r="61" spans="1:4" x14ac:dyDescent="0.3">
      <c r="A61" s="12">
        <f t="shared" si="3"/>
        <v>0.56000000000000039</v>
      </c>
      <c r="B61" s="12">
        <f t="shared" si="2"/>
        <v>0.43999999999999906</v>
      </c>
      <c r="C61" s="13">
        <f t="shared" si="0"/>
        <v>8.9199999999999988E-2</v>
      </c>
      <c r="D61" s="13">
        <f t="shared" si="1"/>
        <v>0.11615782367107269</v>
      </c>
    </row>
    <row r="62" spans="1:4" x14ac:dyDescent="0.3">
      <c r="A62" s="12">
        <f t="shared" si="3"/>
        <v>0.5800000000000004</v>
      </c>
      <c r="B62" s="12">
        <f t="shared" si="2"/>
        <v>0.41999999999999904</v>
      </c>
      <c r="C62" s="13">
        <f t="shared" si="0"/>
        <v>9.06E-2</v>
      </c>
      <c r="D62" s="13">
        <f t="shared" si="1"/>
        <v>0.11966770658786779</v>
      </c>
    </row>
    <row r="63" spans="1:4" x14ac:dyDescent="0.3">
      <c r="A63" s="12">
        <f t="shared" si="3"/>
        <v>0.60000000000000042</v>
      </c>
      <c r="B63" s="12">
        <f t="shared" si="2"/>
        <v>0.39999999999999902</v>
      </c>
      <c r="C63" s="13">
        <f t="shared" si="0"/>
        <v>9.1999999999999998E-2</v>
      </c>
      <c r="D63" s="13">
        <f t="shared" si="1"/>
        <v>0.12322337440599498</v>
      </c>
    </row>
    <row r="64" spans="1:4" x14ac:dyDescent="0.3">
      <c r="A64" s="12">
        <f t="shared" si="3"/>
        <v>0.62000000000000044</v>
      </c>
      <c r="B64" s="12">
        <f t="shared" si="2"/>
        <v>0.37999999999999901</v>
      </c>
      <c r="C64" s="13">
        <f t="shared" si="0"/>
        <v>9.3399999999999997E-2</v>
      </c>
      <c r="D64" s="13">
        <f t="shared" si="1"/>
        <v>0.1268209761829644</v>
      </c>
    </row>
    <row r="65" spans="1:4" x14ac:dyDescent="0.3">
      <c r="A65" s="12">
        <f t="shared" si="3"/>
        <v>0.64000000000000046</v>
      </c>
      <c r="B65" s="12">
        <f t="shared" si="2"/>
        <v>0.35999999999999899</v>
      </c>
      <c r="C65" s="13">
        <f t="shared" si="0"/>
        <v>9.4799999999999995E-2</v>
      </c>
      <c r="D65" s="13">
        <f t="shared" si="1"/>
        <v>0.13045704273821335</v>
      </c>
    </row>
    <row r="66" spans="1:4" x14ac:dyDescent="0.3">
      <c r="A66" s="12">
        <f>A65+2%</f>
        <v>0.66000000000000048</v>
      </c>
      <c r="B66" s="12">
        <f t="shared" si="2"/>
        <v>0.33999999999999897</v>
      </c>
      <c r="C66" s="13">
        <f t="shared" si="0"/>
        <v>9.6199999999999994E-2</v>
      </c>
      <c r="D66" s="13">
        <f t="shared" si="1"/>
        <v>0.13412844590168049</v>
      </c>
    </row>
    <row r="67" spans="1:4" x14ac:dyDescent="0.3">
      <c r="A67" s="12">
        <f t="shared" si="3"/>
        <v>0.68000000000000049</v>
      </c>
      <c r="B67" s="12">
        <f t="shared" si="2"/>
        <v>0.31999999999999895</v>
      </c>
      <c r="C67" s="13">
        <f t="shared" si="0"/>
        <v>9.7600000000000006E-2</v>
      </c>
      <c r="D67" s="13">
        <f t="shared" si="1"/>
        <v>0.13783236194740345</v>
      </c>
    </row>
    <row r="68" spans="1:4" x14ac:dyDescent="0.3">
      <c r="A68" s="12">
        <f t="shared" si="3"/>
        <v>0.70000000000000051</v>
      </c>
      <c r="B68" s="12">
        <f t="shared" si="2"/>
        <v>0.29999999999999893</v>
      </c>
      <c r="C68" s="13">
        <f t="shared" si="0"/>
        <v>9.9000000000000005E-2</v>
      </c>
      <c r="D68" s="13">
        <f t="shared" si="1"/>
        <v>0.14156623891309689</v>
      </c>
    </row>
    <row r="69" spans="1:4" x14ac:dyDescent="0.3">
      <c r="A69" s="12">
        <f t="shared" si="3"/>
        <v>0.72000000000000053</v>
      </c>
      <c r="B69" s="12">
        <f t="shared" si="2"/>
        <v>0.27999999999999892</v>
      </c>
      <c r="C69" s="13">
        <f t="shared" si="0"/>
        <v>0.1004</v>
      </c>
      <c r="D69" s="13">
        <f t="shared" si="1"/>
        <v>0.14532776747751971</v>
      </c>
    </row>
    <row r="70" spans="1:4" x14ac:dyDescent="0.3">
      <c r="A70" s="12">
        <f>A69+2%</f>
        <v>0.74000000000000055</v>
      </c>
      <c r="B70" s="12">
        <f t="shared" si="2"/>
        <v>0.2599999999999989</v>
      </c>
      <c r="C70" s="13">
        <f t="shared" si="0"/>
        <v>0.1018</v>
      </c>
      <c r="D70" s="13">
        <f t="shared" si="1"/>
        <v>0.14911485506145936</v>
      </c>
    </row>
    <row r="71" spans="1:4" x14ac:dyDescent="0.3">
      <c r="A71" s="12">
        <f t="shared" si="3"/>
        <v>0.76000000000000056</v>
      </c>
      <c r="B71" s="12">
        <f t="shared" si="2"/>
        <v>0.23999999999999891</v>
      </c>
      <c r="C71" s="13">
        <f t="shared" si="0"/>
        <v>0.1032</v>
      </c>
      <c r="D71" s="13">
        <f t="shared" si="1"/>
        <v>0.15292560282699572</v>
      </c>
    </row>
    <row r="72" spans="1:4" x14ac:dyDescent="0.3">
      <c r="A72" s="12">
        <f t="shared" si="3"/>
        <v>0.78000000000000058</v>
      </c>
      <c r="B72" s="12">
        <f t="shared" si="2"/>
        <v>0.21999999999999892</v>
      </c>
      <c r="C72" s="13">
        <f t="shared" ref="C72:C83" si="4">A72*$B$2+B72*$B$3</f>
        <v>0.10460000000000003</v>
      </c>
      <c r="D72" s="13">
        <f t="shared" si="1"/>
        <v>0.15675828526747809</v>
      </c>
    </row>
    <row r="73" spans="1:4" x14ac:dyDescent="0.3">
      <c r="A73" s="12">
        <f t="shared" si="3"/>
        <v>0.8000000000000006</v>
      </c>
      <c r="B73" s="12">
        <f t="shared" si="2"/>
        <v>0.19999999999999893</v>
      </c>
      <c r="C73" s="13">
        <f t="shared" si="4"/>
        <v>0.10600000000000001</v>
      </c>
      <c r="D73" s="13">
        <f t="shared" ref="D73:D83" si="5">SQRT(A73^2*$C$2^2+B73^2*$C$3^2+2*B73*A73*$C$2*$C$3*$B$5)</f>
        <v>0.16061133210331097</v>
      </c>
    </row>
    <row r="74" spans="1:4" x14ac:dyDescent="0.3">
      <c r="A74" s="12">
        <f t="shared" si="3"/>
        <v>0.82000000000000062</v>
      </c>
      <c r="B74" s="12">
        <f t="shared" ref="B74:B83" si="6">B73-2%</f>
        <v>0.17999999999999894</v>
      </c>
      <c r="C74" s="13">
        <f t="shared" si="4"/>
        <v>0.10740000000000002</v>
      </c>
      <c r="D74" s="13">
        <f t="shared" si="5"/>
        <v>0.16448331222345944</v>
      </c>
    </row>
    <row r="75" spans="1:4" x14ac:dyDescent="0.3">
      <c r="A75" s="12">
        <f t="shared" ref="A75:A83" si="7">A74+2%</f>
        <v>0.84000000000000064</v>
      </c>
      <c r="B75" s="12">
        <f t="shared" si="6"/>
        <v>0.15999999999999895</v>
      </c>
      <c r="C75" s="13">
        <f t="shared" si="4"/>
        <v>0.10880000000000002</v>
      </c>
      <c r="D75" s="13">
        <f t="shared" si="5"/>
        <v>0.16837291943777671</v>
      </c>
    </row>
    <row r="76" spans="1:4" x14ac:dyDescent="0.3">
      <c r="A76" s="12">
        <f t="shared" si="7"/>
        <v>0.86000000000000065</v>
      </c>
      <c r="B76" s="12">
        <f t="shared" si="6"/>
        <v>0.13999999999999896</v>
      </c>
      <c r="C76" s="13">
        <f t="shared" si="4"/>
        <v>0.11020000000000002</v>
      </c>
      <c r="D76" s="13">
        <f t="shared" si="5"/>
        <v>0.17227895982969033</v>
      </c>
    </row>
    <row r="77" spans="1:4" x14ac:dyDescent="0.3">
      <c r="A77" s="12">
        <f t="shared" si="7"/>
        <v>0.88000000000000067</v>
      </c>
      <c r="B77" s="12">
        <f t="shared" si="6"/>
        <v>0.11999999999999895</v>
      </c>
      <c r="C77" s="13">
        <f t="shared" si="4"/>
        <v>0.11160000000000003</v>
      </c>
      <c r="D77" s="13">
        <f t="shared" si="5"/>
        <v>0.17620034052180505</v>
      </c>
    </row>
    <row r="78" spans="1:4" x14ac:dyDescent="0.3">
      <c r="A78" s="12">
        <f t="shared" si="7"/>
        <v>0.90000000000000069</v>
      </c>
      <c r="B78" s="12">
        <f t="shared" si="6"/>
        <v>9.9999999999998951E-2</v>
      </c>
      <c r="C78" s="13">
        <f t="shared" si="4"/>
        <v>0.11300000000000003</v>
      </c>
      <c r="D78" s="13">
        <f t="shared" si="5"/>
        <v>0.18013605968822582</v>
      </c>
    </row>
    <row r="79" spans="1:4" x14ac:dyDescent="0.3">
      <c r="A79" s="12">
        <f t="shared" si="7"/>
        <v>0.92000000000000071</v>
      </c>
      <c r="B79" s="12">
        <f t="shared" si="6"/>
        <v>7.9999999999998947E-2</v>
      </c>
      <c r="C79" s="13">
        <f t="shared" si="4"/>
        <v>0.11440000000000003</v>
      </c>
      <c r="D79" s="13">
        <f t="shared" si="5"/>
        <v>0.18408519766673273</v>
      </c>
    </row>
    <row r="80" spans="1:4" x14ac:dyDescent="0.3">
      <c r="A80" s="12">
        <f t="shared" si="7"/>
        <v>0.94000000000000072</v>
      </c>
      <c r="B80" s="12">
        <f t="shared" si="6"/>
        <v>5.9999999999998943E-2</v>
      </c>
      <c r="C80" s="13">
        <f t="shared" si="4"/>
        <v>0.11580000000000003</v>
      </c>
      <c r="D80" s="13">
        <f t="shared" si="5"/>
        <v>0.18804690904133484</v>
      </c>
    </row>
    <row r="81" spans="1:4" x14ac:dyDescent="0.3">
      <c r="A81" s="12">
        <f t="shared" si="7"/>
        <v>0.96000000000000074</v>
      </c>
      <c r="B81" s="12">
        <f t="shared" si="6"/>
        <v>3.9999999999998939E-2</v>
      </c>
      <c r="C81" s="13">
        <f t="shared" si="4"/>
        <v>0.11720000000000003</v>
      </c>
      <c r="D81" s="13">
        <f t="shared" si="5"/>
        <v>0.19202041558126071</v>
      </c>
    </row>
    <row r="82" spans="1:4" x14ac:dyDescent="0.3">
      <c r="A82" s="12">
        <f t="shared" si="7"/>
        <v>0.98000000000000076</v>
      </c>
      <c r="B82" s="12">
        <f t="shared" si="6"/>
        <v>1.9999999999998939E-2</v>
      </c>
      <c r="C82" s="13">
        <f t="shared" si="4"/>
        <v>0.11860000000000004</v>
      </c>
      <c r="D82" s="13">
        <f t="shared" si="5"/>
        <v>0.1960049999362263</v>
      </c>
    </row>
    <row r="83" spans="1:4" x14ac:dyDescent="0.3">
      <c r="A83" s="12">
        <f t="shared" si="7"/>
        <v>1.0000000000000007</v>
      </c>
      <c r="B83" s="12">
        <f t="shared" si="6"/>
        <v>-1.0616507672978059E-15</v>
      </c>
      <c r="C83" s="13">
        <f t="shared" si="4"/>
        <v>0.12000000000000002</v>
      </c>
      <c r="D83" s="13">
        <f t="shared" si="5"/>
        <v>0.20000000000000015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7EC3D-B0BF-4FC6-9F4B-24825EE53C4F}">
  <sheetPr codeName="Sheet3"/>
  <dimension ref="A1:E13"/>
  <sheetViews>
    <sheetView showGridLines="0" workbookViewId="0">
      <selection activeCell="B12" sqref="B12"/>
    </sheetView>
  </sheetViews>
  <sheetFormatPr defaultRowHeight="14.4" x14ac:dyDescent="0.3"/>
  <cols>
    <col min="1" max="1" width="14.44140625" style="18" bestFit="1" customWidth="1"/>
    <col min="2" max="2" width="10.6640625" style="18" bestFit="1" customWidth="1"/>
    <col min="3" max="16384" width="8.88671875" style="18"/>
  </cols>
  <sheetData>
    <row r="1" spans="1:5" ht="15" thickBot="1" x14ac:dyDescent="0.35">
      <c r="A1" s="5" t="s">
        <v>8</v>
      </c>
      <c r="B1" s="6" t="s">
        <v>2</v>
      </c>
      <c r="C1" s="7" t="s">
        <v>3</v>
      </c>
    </row>
    <row r="2" spans="1:5" x14ac:dyDescent="0.3">
      <c r="A2" s="15" t="s">
        <v>10</v>
      </c>
      <c r="B2" s="17">
        <v>0.05</v>
      </c>
      <c r="C2" s="17"/>
    </row>
    <row r="3" spans="1:5" x14ac:dyDescent="0.3">
      <c r="A3" s="4" t="s">
        <v>0</v>
      </c>
      <c r="B3" s="2">
        <v>0.12</v>
      </c>
      <c r="C3" s="2">
        <v>0.2</v>
      </c>
    </row>
    <row r="4" spans="1:5" ht="15" thickBot="1" x14ac:dyDescent="0.35">
      <c r="A4" s="8" t="s">
        <v>1</v>
      </c>
      <c r="B4" s="10">
        <v>0.05</v>
      </c>
      <c r="C4" s="10">
        <v>7.0000000000000007E-2</v>
      </c>
    </row>
    <row r="6" spans="1:5" x14ac:dyDescent="0.3">
      <c r="A6" s="14" t="s">
        <v>4</v>
      </c>
      <c r="B6" s="21">
        <v>0.3</v>
      </c>
    </row>
    <row r="7" spans="1:5" ht="15" thickBot="1" x14ac:dyDescent="0.35">
      <c r="A7" s="22" t="s">
        <v>15</v>
      </c>
      <c r="B7" s="23">
        <v>2</v>
      </c>
    </row>
    <row r="9" spans="1:5" ht="15" thickBot="1" x14ac:dyDescent="0.35">
      <c r="A9" s="5"/>
      <c r="B9" s="6" t="s">
        <v>12</v>
      </c>
      <c r="C9" s="7" t="s">
        <v>13</v>
      </c>
      <c r="D9" s="5" t="s">
        <v>14</v>
      </c>
    </row>
    <row r="10" spans="1:5" x14ac:dyDescent="0.3">
      <c r="A10" s="19" t="s">
        <v>11</v>
      </c>
      <c r="B10" s="24">
        <v>0.86263733130783982</v>
      </c>
      <c r="C10" s="24">
        <v>0.96153846153845979</v>
      </c>
      <c r="D10" s="24">
        <v>-0.82417579284629949</v>
      </c>
      <c r="E10" s="20">
        <f>SUM(B10:D10)</f>
        <v>1</v>
      </c>
    </row>
    <row r="11" spans="1:5" x14ac:dyDescent="0.3">
      <c r="A11" s="18" t="s">
        <v>16</v>
      </c>
      <c r="B11" s="55">
        <f>B10*B2+C10*B3+D10*B4</f>
        <v>0.1173076923076922</v>
      </c>
      <c r="C11" s="55"/>
      <c r="D11" s="55"/>
    </row>
    <row r="12" spans="1:5" x14ac:dyDescent="0.3">
      <c r="A12" s="25" t="s">
        <v>17</v>
      </c>
      <c r="B12" s="25">
        <f>(C10^2*C3^2)+(D10^2*C4^2)+(2*C10*D10*C3*C4*B6)</f>
        <v>3.3653846153846048E-2</v>
      </c>
      <c r="C12" s="26">
        <f>SQRT(B12)</f>
        <v>0.18344984642633541</v>
      </c>
      <c r="D12" s="25"/>
    </row>
    <row r="13" spans="1:5" ht="15" thickBot="1" x14ac:dyDescent="0.35">
      <c r="A13" s="30" t="s">
        <v>18</v>
      </c>
      <c r="B13" s="56">
        <f>B11-0.5*B7*B12</f>
        <v>8.3653846153846148E-2</v>
      </c>
      <c r="C13" s="56"/>
      <c r="D13" s="56"/>
    </row>
  </sheetData>
  <mergeCells count="2">
    <mergeCell ref="B11:D11"/>
    <mergeCell ref="B13:D13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6FBB8-086B-4DD4-90D0-1435B51CBC42}">
  <sheetPr codeName="Sheet4"/>
  <dimension ref="A1:H19"/>
  <sheetViews>
    <sheetView showGridLines="0" workbookViewId="0">
      <selection sqref="A1:G21"/>
    </sheetView>
  </sheetViews>
  <sheetFormatPr defaultRowHeight="14.4" x14ac:dyDescent="0.3"/>
  <cols>
    <col min="1" max="1" width="14.33203125" style="29" bestFit="1" customWidth="1"/>
    <col min="2" max="2" width="9" style="29" bestFit="1" customWidth="1"/>
    <col min="3" max="3" width="8.88671875" style="29"/>
    <col min="4" max="4" width="14.33203125" style="29" bestFit="1" customWidth="1"/>
    <col min="5" max="16384" width="8.88671875" style="29"/>
  </cols>
  <sheetData>
    <row r="1" spans="1:8" ht="15" thickBot="1" x14ac:dyDescent="0.35">
      <c r="A1" s="5" t="s">
        <v>8</v>
      </c>
      <c r="B1" s="6" t="s">
        <v>2</v>
      </c>
      <c r="C1" s="7" t="s">
        <v>3</v>
      </c>
    </row>
    <row r="2" spans="1:8" x14ac:dyDescent="0.3">
      <c r="A2" s="4" t="s">
        <v>23</v>
      </c>
      <c r="B2" s="2">
        <v>0.12</v>
      </c>
      <c r="C2" s="2">
        <v>0.2</v>
      </c>
    </row>
    <row r="3" spans="1:8" ht="15" thickBot="1" x14ac:dyDescent="0.35">
      <c r="A3" s="8" t="s">
        <v>24</v>
      </c>
      <c r="B3" s="10">
        <v>0.08</v>
      </c>
      <c r="C3" s="10">
        <v>0.13</v>
      </c>
    </row>
    <row r="5" spans="1:8" ht="15" thickBot="1" x14ac:dyDescent="0.35">
      <c r="A5" s="27" t="s">
        <v>4</v>
      </c>
      <c r="B5" s="28">
        <v>0.3</v>
      </c>
      <c r="D5" s="5" t="s">
        <v>25</v>
      </c>
      <c r="E5" s="6" t="s">
        <v>23</v>
      </c>
      <c r="F5" s="7" t="s">
        <v>24</v>
      </c>
    </row>
    <row r="6" spans="1:8" x14ac:dyDescent="0.3">
      <c r="A6" s="14" t="s">
        <v>10</v>
      </c>
      <c r="B6" s="31">
        <v>0.05</v>
      </c>
      <c r="D6" s="39" t="s">
        <v>22</v>
      </c>
      <c r="E6" s="16">
        <v>0.5920149837100892</v>
      </c>
      <c r="F6" s="16">
        <v>0.40798501142150623</v>
      </c>
      <c r="G6" s="32">
        <f>SUM(E6:F6)</f>
        <v>0.99999999513159543</v>
      </c>
    </row>
    <row r="7" spans="1:8" ht="15" thickBot="1" x14ac:dyDescent="0.35">
      <c r="A7" s="22" t="s">
        <v>15</v>
      </c>
      <c r="B7" s="23">
        <v>8</v>
      </c>
    </row>
    <row r="9" spans="1:8" ht="15" thickBot="1" x14ac:dyDescent="0.35">
      <c r="A9" s="57" t="s">
        <v>19</v>
      </c>
      <c r="B9" s="57"/>
    </row>
    <row r="10" spans="1:8" x14ac:dyDescent="0.3">
      <c r="A10" s="29" t="s">
        <v>16</v>
      </c>
      <c r="B10" s="33">
        <f>E6*B2+F6*B3</f>
        <v>0.1036805989589312</v>
      </c>
    </row>
    <row r="11" spans="1:8" x14ac:dyDescent="0.3">
      <c r="A11" s="34" t="s">
        <v>20</v>
      </c>
      <c r="B11" s="35">
        <f>B10-B6</f>
        <v>5.3680598958931194E-2</v>
      </c>
    </row>
    <row r="12" spans="1:8" x14ac:dyDescent="0.3">
      <c r="A12" s="34" t="s">
        <v>21</v>
      </c>
      <c r="B12" s="35">
        <f>SQRT((E6^2*C2^2)+(F6^2*C3^2)+(2*C2*C3*E6*F6*B5))</f>
        <v>0.14352777809569997</v>
      </c>
    </row>
    <row r="13" spans="1:8" ht="15" thickBot="1" x14ac:dyDescent="0.35">
      <c r="A13" s="36" t="s">
        <v>26</v>
      </c>
      <c r="B13" s="37">
        <f>B11/B12</f>
        <v>0.3740084300833989</v>
      </c>
    </row>
    <row r="15" spans="1:8" ht="15" thickBot="1" x14ac:dyDescent="0.35">
      <c r="A15" s="57" t="s">
        <v>27</v>
      </c>
      <c r="B15" s="57"/>
    </row>
    <row r="16" spans="1:8" x14ac:dyDescent="0.3">
      <c r="A16" s="29" t="s">
        <v>28</v>
      </c>
      <c r="B16" s="33">
        <f>B11/B7/B12^2</f>
        <v>0.32572826236641578</v>
      </c>
      <c r="C16" s="38" t="s">
        <v>29</v>
      </c>
      <c r="D16" s="38"/>
      <c r="E16" s="38"/>
      <c r="F16" s="38"/>
      <c r="G16" s="38"/>
      <c r="H16" s="38"/>
    </row>
    <row r="17" spans="1:2" x14ac:dyDescent="0.3">
      <c r="A17" s="34" t="s">
        <v>12</v>
      </c>
      <c r="B17" s="35">
        <f>1-B16</f>
        <v>0.67427173763358428</v>
      </c>
    </row>
    <row r="18" spans="1:2" x14ac:dyDescent="0.3">
      <c r="A18" s="34" t="s">
        <v>13</v>
      </c>
      <c r="B18" s="35">
        <f>B16*E6</f>
        <v>0.19283601193876929</v>
      </c>
    </row>
    <row r="19" spans="1:2" ht="15" thickBot="1" x14ac:dyDescent="0.35">
      <c r="A19" s="10" t="s">
        <v>14</v>
      </c>
      <c r="B19" s="10">
        <f>F6*B16</f>
        <v>0.13289224884186951</v>
      </c>
    </row>
  </sheetData>
  <mergeCells count="2">
    <mergeCell ref="A9:B9"/>
    <mergeCell ref="A15:B1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15F108-541F-4E96-A444-4F88B08BA9CA}">
  <sheetPr codeName="Sheet1"/>
  <dimension ref="A1:M125"/>
  <sheetViews>
    <sheetView showGridLines="0" topLeftCell="A7" workbookViewId="0">
      <selection activeCell="E35" sqref="E35:K35"/>
    </sheetView>
  </sheetViews>
  <sheetFormatPr defaultRowHeight="14.4" x14ac:dyDescent="0.3"/>
  <cols>
    <col min="1" max="1" width="14.44140625" style="29" bestFit="1" customWidth="1"/>
    <col min="2" max="3" width="8.88671875" style="29"/>
    <col min="4" max="4" width="14.33203125" style="29" bestFit="1" customWidth="1"/>
    <col min="5" max="5" width="14.44140625" style="29" bestFit="1" customWidth="1"/>
    <col min="6" max="6" width="10.21875" style="29" bestFit="1" customWidth="1"/>
    <col min="7" max="8" width="9.77734375" style="29" bestFit="1" customWidth="1"/>
    <col min="9" max="9" width="10.33203125" style="29" bestFit="1" customWidth="1"/>
    <col min="10" max="10" width="10.44140625" style="29" bestFit="1" customWidth="1"/>
    <col min="11" max="11" width="8" style="29" bestFit="1" customWidth="1"/>
    <col min="12" max="16384" width="8.88671875" style="29"/>
  </cols>
  <sheetData>
    <row r="1" spans="1:12" x14ac:dyDescent="0.3">
      <c r="E1" s="59" t="s">
        <v>34</v>
      </c>
      <c r="F1" s="59"/>
      <c r="G1" s="59"/>
      <c r="H1" s="59"/>
      <c r="I1" s="59"/>
      <c r="J1" s="59"/>
      <c r="K1" s="59"/>
      <c r="L1" s="59"/>
    </row>
    <row r="2" spans="1:12" ht="15" thickBot="1" x14ac:dyDescent="0.35">
      <c r="A2" s="5" t="s">
        <v>8</v>
      </c>
      <c r="B2" s="6" t="s">
        <v>2</v>
      </c>
      <c r="C2" s="7" t="s">
        <v>3</v>
      </c>
      <c r="E2" s="41" t="str" cm="1">
        <f t="array" ref="E2:H2">TRANSPOSE(A3:A6)</f>
        <v>Equity COL</v>
      </c>
      <c r="F2" s="41" t="str">
        <v>Debt COL</v>
      </c>
      <c r="G2" s="41" t="str">
        <v>Equity INT</v>
      </c>
      <c r="H2" s="41" t="str">
        <v>Debt INT</v>
      </c>
      <c r="I2" s="58" t="s">
        <v>35</v>
      </c>
      <c r="J2" s="58"/>
      <c r="K2" s="58"/>
      <c r="L2" s="58"/>
    </row>
    <row r="3" spans="1:12" x14ac:dyDescent="0.3">
      <c r="A3" s="4" t="s">
        <v>30</v>
      </c>
      <c r="B3" s="2">
        <v>0.12</v>
      </c>
      <c r="C3" s="2">
        <v>0.2</v>
      </c>
      <c r="E3" s="2">
        <f>C3^2</f>
        <v>4.0000000000000008E-2</v>
      </c>
      <c r="F3" s="2">
        <f>C3*C4*J3</f>
        <v>2.0800000000000003E-2</v>
      </c>
      <c r="G3" s="2">
        <f>C3*C5*K3</f>
        <v>1.7999999999999999E-2</v>
      </c>
      <c r="H3" s="2">
        <f>C3*C6*L3</f>
        <v>1.0000000000000002E-3</v>
      </c>
      <c r="I3" s="42">
        <v>1</v>
      </c>
      <c r="J3" s="42">
        <v>0.8</v>
      </c>
      <c r="K3" s="42">
        <v>0.6</v>
      </c>
      <c r="L3" s="42">
        <v>0.1</v>
      </c>
    </row>
    <row r="4" spans="1:12" x14ac:dyDescent="0.3">
      <c r="A4" s="40" t="s">
        <v>31</v>
      </c>
      <c r="B4" s="13">
        <v>0.08</v>
      </c>
      <c r="C4" s="13">
        <v>0.13</v>
      </c>
      <c r="E4" s="13">
        <f>F3</f>
        <v>2.0800000000000003E-2</v>
      </c>
      <c r="F4" s="13">
        <f>C4^2</f>
        <v>1.6900000000000002E-2</v>
      </c>
      <c r="G4" s="13">
        <f>C4*C5*K4</f>
        <v>7.8000000000000005E-3</v>
      </c>
      <c r="H4" s="13">
        <f>C4*C6*L4</f>
        <v>1.3000000000000002E-3</v>
      </c>
      <c r="I4" s="43">
        <f>J3</f>
        <v>0.8</v>
      </c>
      <c r="J4" s="43">
        <v>1</v>
      </c>
      <c r="K4" s="43">
        <v>0.4</v>
      </c>
      <c r="L4" s="43">
        <v>0.2</v>
      </c>
    </row>
    <row r="5" spans="1:12" x14ac:dyDescent="0.3">
      <c r="A5" s="4" t="s">
        <v>32</v>
      </c>
      <c r="B5" s="2">
        <v>0.11</v>
      </c>
      <c r="C5" s="2">
        <v>0.15</v>
      </c>
      <c r="E5" s="13">
        <f>G3</f>
        <v>1.7999999999999999E-2</v>
      </c>
      <c r="F5" s="13">
        <f>G4</f>
        <v>7.8000000000000005E-3</v>
      </c>
      <c r="G5" s="13">
        <f>C5^2</f>
        <v>2.2499999999999999E-2</v>
      </c>
      <c r="H5" s="13">
        <f>C6*C5*L5</f>
        <v>3.7499999999999999E-3</v>
      </c>
      <c r="I5" s="43">
        <f>K3</f>
        <v>0.6</v>
      </c>
      <c r="J5" s="43">
        <f>K4</f>
        <v>0.4</v>
      </c>
      <c r="K5" s="43">
        <v>1</v>
      </c>
      <c r="L5" s="43">
        <v>0.5</v>
      </c>
    </row>
    <row r="6" spans="1:12" ht="15" thickBot="1" x14ac:dyDescent="0.35">
      <c r="A6" s="8" t="s">
        <v>33</v>
      </c>
      <c r="B6" s="10">
        <v>0.04</v>
      </c>
      <c r="C6" s="10">
        <v>0.05</v>
      </c>
      <c r="E6" s="10">
        <f>H3</f>
        <v>1.0000000000000002E-3</v>
      </c>
      <c r="F6" s="10">
        <f>H4</f>
        <v>1.3000000000000002E-3</v>
      </c>
      <c r="G6" s="10">
        <f>H5</f>
        <v>3.7499999999999999E-3</v>
      </c>
      <c r="H6" s="10">
        <f>C6^2</f>
        <v>2.5000000000000005E-3</v>
      </c>
      <c r="I6" s="44">
        <f>L3</f>
        <v>0.1</v>
      </c>
      <c r="J6" s="44">
        <f>L4</f>
        <v>0.2</v>
      </c>
      <c r="K6" s="44">
        <f>L5</f>
        <v>0.5</v>
      </c>
      <c r="L6" s="44">
        <v>1</v>
      </c>
    </row>
    <row r="8" spans="1:12" ht="15" thickBot="1" x14ac:dyDescent="0.35">
      <c r="E8" s="5" t="s">
        <v>25</v>
      </c>
      <c r="F8" s="6" t="str">
        <f>A3</f>
        <v>Equity COL</v>
      </c>
      <c r="G8" s="6" t="s">
        <v>31</v>
      </c>
      <c r="H8" s="6" t="s">
        <v>32</v>
      </c>
      <c r="I8" s="7" t="s">
        <v>33</v>
      </c>
    </row>
    <row r="9" spans="1:12" x14ac:dyDescent="0.3">
      <c r="A9" s="27" t="s">
        <v>4</v>
      </c>
      <c r="B9" s="28">
        <v>0.5</v>
      </c>
      <c r="E9" s="39" t="s">
        <v>22</v>
      </c>
      <c r="F9" s="16">
        <v>5.7507407690684111E-2</v>
      </c>
      <c r="G9" s="16">
        <v>0.20333639253939353</v>
      </c>
      <c r="H9" s="16">
        <v>0.33302714079222639</v>
      </c>
      <c r="I9" s="16">
        <v>0.40612905897769613</v>
      </c>
      <c r="J9" s="32">
        <f>SUM(F9:I9)</f>
        <v>1</v>
      </c>
    </row>
    <row r="10" spans="1:12" x14ac:dyDescent="0.3">
      <c r="A10" s="14" t="s">
        <v>10</v>
      </c>
      <c r="B10" s="48">
        <v>0.02</v>
      </c>
    </row>
    <row r="11" spans="1:12" ht="15" thickBot="1" x14ac:dyDescent="0.35">
      <c r="A11" s="22" t="s">
        <v>15</v>
      </c>
      <c r="B11" s="23">
        <v>12</v>
      </c>
      <c r="E11" s="59" t="s">
        <v>36</v>
      </c>
      <c r="F11" s="59"/>
      <c r="G11" s="59"/>
      <c r="H11" s="59"/>
      <c r="I11" s="59"/>
      <c r="J11" s="59"/>
      <c r="K11" s="59"/>
    </row>
    <row r="12" spans="1:12" ht="15" thickBot="1" x14ac:dyDescent="0.35">
      <c r="E12" s="6" t="s">
        <v>30</v>
      </c>
      <c r="F12" s="6" t="s">
        <v>31</v>
      </c>
      <c r="G12" s="6" t="s">
        <v>32</v>
      </c>
      <c r="H12" s="7" t="s">
        <v>33</v>
      </c>
      <c r="I12" s="47" t="s">
        <v>37</v>
      </c>
      <c r="J12" s="47" t="s">
        <v>38</v>
      </c>
      <c r="K12" s="47" t="s">
        <v>39</v>
      </c>
    </row>
    <row r="13" spans="1:12" ht="15" thickBot="1" x14ac:dyDescent="0.35">
      <c r="A13" s="57" t="s">
        <v>19</v>
      </c>
      <c r="B13" s="57"/>
      <c r="D13" s="33">
        <f>SUM(E13:H13)</f>
        <v>0.99999999173839971</v>
      </c>
      <c r="E13" s="52">
        <v>-8.106216571766937E-3</v>
      </c>
      <c r="F13" s="52">
        <v>0.49428241824924307</v>
      </c>
      <c r="G13" s="52">
        <v>1.0125350013535355</v>
      </c>
      <c r="H13" s="52">
        <v>-0.49871121129261198</v>
      </c>
      <c r="I13" s="53">
        <v>0.13000012500011518</v>
      </c>
      <c r="J13" s="52" cm="1">
        <f t="array" ref="J13">MMULT(E13:H13,B3:B6)</f>
        <v>0.13000024916851183</v>
      </c>
      <c r="K13" s="52" cm="1">
        <f t="array" ref="K13">MMULT(E13:H13,MMULT(E3:H6,TRANSPOSE(E13:H13)))^(1/2)</f>
        <v>0.17534594169416334</v>
      </c>
    </row>
    <row r="14" spans="1:12" x14ac:dyDescent="0.3">
      <c r="A14" s="29" t="s">
        <v>16</v>
      </c>
      <c r="B14" s="33" cm="1">
        <f t="array" ref="B14">MMULT(F9:I9,B3:B6)</f>
        <v>7.6045948172286326E-2</v>
      </c>
      <c r="E14" s="13">
        <v>0.12565122631446721</v>
      </c>
      <c r="F14" s="13">
        <v>-9.8870608403886548E-2</v>
      </c>
      <c r="G14" s="13">
        <v>-0.37281843716997448</v>
      </c>
      <c r="H14" s="13">
        <v>1.3460378494976972</v>
      </c>
      <c r="I14" s="51">
        <v>1.9999985135214261E-2</v>
      </c>
      <c r="J14" s="13">
        <v>1.9999984376635839E-2</v>
      </c>
      <c r="K14" s="13">
        <v>5.5262740042640049E-2</v>
      </c>
    </row>
    <row r="15" spans="1:12" x14ac:dyDescent="0.3">
      <c r="A15" s="34" t="s">
        <v>20</v>
      </c>
      <c r="B15" s="35">
        <f>B14-B10</f>
        <v>5.6045948172286322E-2</v>
      </c>
      <c r="E15" s="49">
        <v>0.20172760774579693</v>
      </c>
      <c r="F15" s="49">
        <v>-0.24018035337066729</v>
      </c>
      <c r="G15" s="49">
        <v>-0.30758507817545666</v>
      </c>
      <c r="H15" s="49">
        <v>1.3460378494976972</v>
      </c>
      <c r="I15" s="50">
        <v>2.5000020040465528E-2</v>
      </c>
      <c r="J15" s="49">
        <v>2.5000040040449902E-2</v>
      </c>
      <c r="K15" s="49">
        <v>5.2549124657505747E-2</v>
      </c>
    </row>
    <row r="16" spans="1:12" x14ac:dyDescent="0.3">
      <c r="A16" s="34" t="s">
        <v>21</v>
      </c>
      <c r="B16" s="35" cm="1">
        <f t="array" ref="B16">SQRT(MMULT(F9:I9,MMULT(E3:H6,TRANSPOSE(F9:I9))))</f>
        <v>8.5128577652596946E-2</v>
      </c>
      <c r="E16" s="13">
        <v>0.23806977559690426</v>
      </c>
      <c r="F16" s="13">
        <v>-0.39473286072328967</v>
      </c>
      <c r="G16" s="13">
        <v>-0.18937473674814445</v>
      </c>
      <c r="H16" s="13">
        <v>1.3460378494976972</v>
      </c>
      <c r="I16" s="51">
        <v>3.000001215133731E-2</v>
      </c>
      <c r="J16" s="13">
        <v>3.0000037151377338E-2</v>
      </c>
      <c r="K16" s="13">
        <v>5.6729623255396301E-2</v>
      </c>
    </row>
    <row r="17" spans="1:13" ht="15" thickBot="1" x14ac:dyDescent="0.35">
      <c r="A17" s="36" t="s">
        <v>26</v>
      </c>
      <c r="B17" s="37">
        <f>B15/B16</f>
        <v>0.65836819688219672</v>
      </c>
      <c r="E17" s="49">
        <v>0.2574932030791629</v>
      </c>
      <c r="F17" s="49">
        <v>-0.55492649001380756</v>
      </c>
      <c r="G17" s="49">
        <v>-4.8604528875645037E-2</v>
      </c>
      <c r="H17" s="49">
        <v>1.3460378494976972</v>
      </c>
      <c r="I17" s="50">
        <v>3.5000050971944738E-2</v>
      </c>
      <c r="J17" s="49">
        <v>3.500008097198188E-2</v>
      </c>
      <c r="K17" s="49">
        <v>6.874217186035729E-2</v>
      </c>
    </row>
    <row r="18" spans="1:13" x14ac:dyDescent="0.3">
      <c r="E18" s="49">
        <v>0.10133159143278447</v>
      </c>
      <c r="F18" s="49">
        <v>8.9753024872458367E-3</v>
      </c>
      <c r="G18" s="49">
        <v>-0.12093624249262155</v>
      </c>
      <c r="H18" s="49">
        <v>1.0106293555031438</v>
      </c>
      <c r="I18" s="50">
        <v>4.00000003158828E-2</v>
      </c>
      <c r="J18" s="49">
        <v>4.0000002716851182E-2</v>
      </c>
      <c r="K18" s="49">
        <v>4.6755339731764003E-2</v>
      </c>
    </row>
    <row r="19" spans="1:13" ht="15" thickBot="1" x14ac:dyDescent="0.35">
      <c r="A19" s="57" t="s">
        <v>27</v>
      </c>
      <c r="B19" s="57"/>
      <c r="D19" s="38"/>
      <c r="E19" s="49">
        <v>9.5251760327951837E-2</v>
      </c>
      <c r="F19" s="49">
        <v>3.5937064242773466E-2</v>
      </c>
      <c r="G19" s="49">
        <v>-5.7964916066925574E-2</v>
      </c>
      <c r="H19" s="49">
        <v>0.92677610228403318</v>
      </c>
      <c r="I19" s="50">
        <v>4.5000039818278034E-2</v>
      </c>
      <c r="J19" s="49">
        <v>4.5000079702775607E-2</v>
      </c>
      <c r="K19" s="49">
        <v>4.8775077406896475E-2</v>
      </c>
    </row>
    <row r="20" spans="1:13" x14ac:dyDescent="0.3">
      <c r="A20" s="29" t="s">
        <v>28</v>
      </c>
      <c r="B20" s="33">
        <f>B15/B11/B16^2</f>
        <v>0.64448411943102679</v>
      </c>
      <c r="C20" s="38" t="s">
        <v>29</v>
      </c>
      <c r="D20" s="54" t="s">
        <v>40</v>
      </c>
      <c r="E20" s="49">
        <v>8.9171777675072811E-2</v>
      </c>
      <c r="F20" s="49">
        <v>6.2898421661226389E-2</v>
      </c>
      <c r="G20" s="49">
        <v>5.0052602694528898E-3</v>
      </c>
      <c r="H20" s="49">
        <v>0.84292454255616978</v>
      </c>
      <c r="I20" s="50">
        <v>5.000004620940314E-2</v>
      </c>
      <c r="J20" s="49">
        <v>5.0000047385793459E-2</v>
      </c>
      <c r="K20" s="49">
        <v>5.2305998624541779E-2</v>
      </c>
    </row>
    <row r="21" spans="1:13" x14ac:dyDescent="0.3">
      <c r="A21" s="45" t="s">
        <v>10</v>
      </c>
      <c r="B21" s="35">
        <f>1-B20</f>
        <v>0.35551588056897321</v>
      </c>
      <c r="E21" s="49">
        <v>0.33873206197443234</v>
      </c>
      <c r="F21" s="49">
        <v>-0.18725156730076517</v>
      </c>
      <c r="G21" s="49">
        <v>5.5949658638285047E-3</v>
      </c>
      <c r="H21" s="49">
        <v>0.84292454255616978</v>
      </c>
      <c r="I21" s="50">
        <v>6.0000100000091205E-2</v>
      </c>
      <c r="J21" s="49">
        <v>6.0000150000138586E-2</v>
      </c>
      <c r="K21" s="49">
        <v>6.7590438331156549E-2</v>
      </c>
    </row>
    <row r="22" spans="1:13" x14ac:dyDescent="0.3">
      <c r="A22" s="45" t="str">
        <f>A3</f>
        <v>Equity COL</v>
      </c>
      <c r="B22" s="35">
        <f>B20*F9</f>
        <v>3.7062611006291608E-2</v>
      </c>
      <c r="E22" s="49">
        <v>0.46371195310346947</v>
      </c>
      <c r="F22" s="49">
        <v>-0.31225703184418047</v>
      </c>
      <c r="G22" s="49">
        <v>5.6205389753351291E-3</v>
      </c>
      <c r="H22" s="49">
        <v>0.84292454255616978</v>
      </c>
      <c r="I22" s="50">
        <v>6.5000052814265546E-2</v>
      </c>
      <c r="J22" s="49">
        <v>6.5000112814415548E-2</v>
      </c>
      <c r="K22" s="49">
        <v>7.8751563961816456E-2</v>
      </c>
    </row>
    <row r="23" spans="1:13" x14ac:dyDescent="0.3">
      <c r="A23" s="45" t="str">
        <f>A4</f>
        <v>Debt COL</v>
      </c>
      <c r="B23" s="13">
        <f>G9*$B$20</f>
        <v>0.13104707589403264</v>
      </c>
      <c r="E23" s="49">
        <v>0.58870205873607306</v>
      </c>
      <c r="F23" s="49">
        <v>-0.43726091193400285</v>
      </c>
      <c r="G23" s="49">
        <v>5.6343109478076726E-3</v>
      </c>
      <c r="H23" s="49">
        <v>0.84292454255616978</v>
      </c>
      <c r="I23" s="50">
        <v>7.000006500000136E-2</v>
      </c>
      <c r="J23" s="49">
        <v>7.0000130000114166E-2</v>
      </c>
      <c r="K23" s="49">
        <v>9.1177236167800046E-2</v>
      </c>
    </row>
    <row r="24" spans="1:13" x14ac:dyDescent="0.3">
      <c r="A24" s="45" t="str">
        <f>A5</f>
        <v>Equity INT</v>
      </c>
      <c r="B24" s="13">
        <f>H9*$B$20</f>
        <v>0.2146307035801106</v>
      </c>
      <c r="E24" s="49">
        <v>0.71369592684477989</v>
      </c>
      <c r="F24" s="49">
        <v>-0.56226336814459177</v>
      </c>
      <c r="G24" s="49">
        <v>5.6428979307234905E-3</v>
      </c>
      <c r="H24" s="49">
        <v>0.84292454255616978</v>
      </c>
      <c r="I24" s="50">
        <v>7.5000072244302621E-2</v>
      </c>
      <c r="J24" s="49">
        <v>7.5000142244432605E-2</v>
      </c>
      <c r="K24" s="49">
        <v>0.10441691053641412</v>
      </c>
      <c r="M24" s="33"/>
    </row>
    <row r="25" spans="1:13" ht="15" thickBot="1" x14ac:dyDescent="0.35">
      <c r="A25" s="46" t="str">
        <f>A6</f>
        <v>Debt INT</v>
      </c>
      <c r="B25" s="10">
        <f>I9*$B$20</f>
        <v>0.26174372895059206</v>
      </c>
      <c r="E25" s="49">
        <v>0.83869173051630352</v>
      </c>
      <c r="F25" s="49">
        <v>-0.68726503489335899</v>
      </c>
      <c r="G25" s="49">
        <v>5.648758431031538E-3</v>
      </c>
      <c r="H25" s="49">
        <v>0.84292454255616978</v>
      </c>
      <c r="I25" s="50">
        <v>8.0000075000005735E-2</v>
      </c>
      <c r="J25" s="49">
        <v>8.0000150000147957E-2</v>
      </c>
      <c r="K25" s="49">
        <v>0.11819736600193514</v>
      </c>
      <c r="M25" s="33"/>
    </row>
    <row r="26" spans="1:13" x14ac:dyDescent="0.3">
      <c r="E26" s="49">
        <v>0.96369078396242935</v>
      </c>
      <c r="F26" s="49">
        <v>-0.8122683375844536</v>
      </c>
      <c r="G26" s="49">
        <v>5.6530111756177386E-3</v>
      </c>
      <c r="H26" s="49">
        <v>0.84292454255616978</v>
      </c>
      <c r="I26" s="50">
        <v>8.5000160000149982E-2</v>
      </c>
      <c r="J26" s="49">
        <v>8.5000240000299959E-2</v>
      </c>
      <c r="K26" s="49">
        <v>0.13235003325276204</v>
      </c>
      <c r="M26" s="33"/>
    </row>
    <row r="27" spans="1:13" x14ac:dyDescent="0.3">
      <c r="E27" s="49">
        <v>0.96369078396242935</v>
      </c>
      <c r="F27" s="49">
        <v>-0.68728862604638308</v>
      </c>
      <c r="G27" s="49">
        <v>5.6636046444531471E-3</v>
      </c>
      <c r="H27" s="49">
        <v>0.71793423743946461</v>
      </c>
      <c r="I27" s="50">
        <v>9.0000170000239993E-2</v>
      </c>
      <c r="J27" s="49">
        <v>9.0000170000249291E-2</v>
      </c>
      <c r="K27" s="49">
        <v>0.13832667498731019</v>
      </c>
      <c r="M27" s="33"/>
    </row>
    <row r="28" spans="1:13" x14ac:dyDescent="0.3">
      <c r="E28" s="49">
        <v>0.96369078396242935</v>
      </c>
      <c r="F28" s="49">
        <v>-0.56231671697245633</v>
      </c>
      <c r="G28" s="49">
        <v>5.678455722037682E-3</v>
      </c>
      <c r="H28" s="49">
        <v>0.59294747728799924</v>
      </c>
      <c r="I28" s="50">
        <v>9.5000085938629492E-2</v>
      </c>
      <c r="J28" s="49">
        <v>9.5000085938639109E-2</v>
      </c>
      <c r="K28" s="49">
        <v>0.14586579308706712</v>
      </c>
      <c r="M28" s="33"/>
    </row>
    <row r="29" spans="1:13" x14ac:dyDescent="0.3">
      <c r="E29" s="49">
        <v>0.96369078396242935</v>
      </c>
      <c r="F29" s="49">
        <v>-0.43735077765660663</v>
      </c>
      <c r="G29" s="49">
        <v>5.7007569222476025E-3</v>
      </c>
      <c r="H29" s="49">
        <v>0.46795923826779179</v>
      </c>
      <c r="I29" s="50">
        <v>0.10000018965503596</v>
      </c>
      <c r="J29" s="49">
        <v>0.1000002846551219</v>
      </c>
      <c r="K29" s="49">
        <v>0.15473934648013629</v>
      </c>
      <c r="M29" s="33"/>
    </row>
    <row r="30" spans="1:13" x14ac:dyDescent="0.3">
      <c r="E30" s="49">
        <v>0.96369078396242935</v>
      </c>
      <c r="F30" s="49">
        <v>-0.31242041167841395</v>
      </c>
      <c r="G30" s="49">
        <v>5.737902861456954E-3</v>
      </c>
      <c r="H30" s="49">
        <v>0.34299172225133873</v>
      </c>
      <c r="I30" s="50">
        <v>0.10499999934574757</v>
      </c>
      <c r="J30" s="49">
        <v>0.1050000993460322</v>
      </c>
      <c r="K30" s="49">
        <v>0.1647298770515061</v>
      </c>
      <c r="M30" s="33"/>
    </row>
    <row r="31" spans="1:13" x14ac:dyDescent="0.3">
      <c r="E31" s="13">
        <v>0.96369078396242935</v>
      </c>
      <c r="F31" s="13">
        <v>-0.18754663349537956</v>
      </c>
      <c r="G31" s="13">
        <v>5.8116146393794692E-3</v>
      </c>
      <c r="H31" s="13">
        <v>0.21804423318732116</v>
      </c>
      <c r="I31" s="51">
        <v>0.11000010533358638</v>
      </c>
      <c r="J31" s="13">
        <v>0.11000021033368573</v>
      </c>
      <c r="K31" s="13">
        <v>0.17564580137859109</v>
      </c>
      <c r="M31" s="33"/>
    </row>
    <row r="32" spans="1:13" x14ac:dyDescent="0.3">
      <c r="E32" s="49">
        <v>1.0133334023242379E-2</v>
      </c>
      <c r="F32" s="49">
        <v>0.41339729701967159</v>
      </c>
      <c r="G32" s="49">
        <v>0.82362062839201822</v>
      </c>
      <c r="H32" s="49">
        <v>-0.24715127200605835</v>
      </c>
      <c r="I32" s="50">
        <v>0.11499999966421161</v>
      </c>
      <c r="J32" s="49">
        <v>0.11500000208724248</v>
      </c>
      <c r="K32" s="49">
        <v>0.14932106855903043</v>
      </c>
      <c r="M32" s="33"/>
    </row>
    <row r="33" spans="5:13" x14ac:dyDescent="0.3">
      <c r="E33" s="13">
        <v>1.0283190883299043E-2</v>
      </c>
      <c r="F33" s="13">
        <v>0.53810039354714689</v>
      </c>
      <c r="G33" s="13">
        <v>0.82362062839201822</v>
      </c>
      <c r="H33" s="13">
        <v>-0.37200421282234047</v>
      </c>
      <c r="I33" s="51">
        <v>0.12000011499998832</v>
      </c>
      <c r="J33" s="13">
        <v>0.12000011499999602</v>
      </c>
      <c r="K33" s="13">
        <v>0.15852239710220425</v>
      </c>
      <c r="M33" s="33"/>
    </row>
    <row r="34" spans="5:13" x14ac:dyDescent="0.3">
      <c r="E34" s="49">
        <v>1.0374361835636142E-2</v>
      </c>
      <c r="F34" s="49">
        <v>0.66292418374685491</v>
      </c>
      <c r="G34" s="49">
        <v>0.82362062839201822</v>
      </c>
      <c r="H34" s="49">
        <v>-0.4969191810700449</v>
      </c>
      <c r="I34" s="50">
        <v>0.12500024000022997</v>
      </c>
      <c r="J34" s="49">
        <v>0.12500036000034495</v>
      </c>
      <c r="K34" s="49">
        <v>0.16877933777162529</v>
      </c>
      <c r="M34" s="33"/>
    </row>
    <row r="35" spans="5:13" x14ac:dyDescent="0.3">
      <c r="E35" s="49">
        <v>-8.106216571766937E-3</v>
      </c>
      <c r="F35" s="49">
        <v>0.49428241824924307</v>
      </c>
      <c r="G35" s="49">
        <v>1.0125350013535355</v>
      </c>
      <c r="H35" s="49">
        <v>-0.49871121129261198</v>
      </c>
      <c r="I35" s="50">
        <v>0.13000012500011518</v>
      </c>
      <c r="J35" s="49">
        <v>0.13000024916851183</v>
      </c>
      <c r="K35" s="49">
        <v>0.17534594169416334</v>
      </c>
      <c r="M35" s="33"/>
    </row>
    <row r="36" spans="5:13" x14ac:dyDescent="0.3">
      <c r="M36" s="33"/>
    </row>
    <row r="37" spans="5:13" x14ac:dyDescent="0.3">
      <c r="M37" s="33"/>
    </row>
    <row r="38" spans="5:13" x14ac:dyDescent="0.3">
      <c r="M38" s="33"/>
    </row>
    <row r="39" spans="5:13" x14ac:dyDescent="0.3">
      <c r="M39" s="33"/>
    </row>
    <row r="40" spans="5:13" x14ac:dyDescent="0.3">
      <c r="M40" s="33"/>
    </row>
    <row r="41" spans="5:13" x14ac:dyDescent="0.3">
      <c r="M41" s="33"/>
    </row>
    <row r="42" spans="5:13" x14ac:dyDescent="0.3">
      <c r="M42" s="33"/>
    </row>
    <row r="43" spans="5:13" x14ac:dyDescent="0.3">
      <c r="M43" s="33"/>
    </row>
    <row r="44" spans="5:13" x14ac:dyDescent="0.3">
      <c r="M44" s="33"/>
    </row>
    <row r="45" spans="5:13" x14ac:dyDescent="0.3">
      <c r="M45" s="33"/>
    </row>
    <row r="46" spans="5:13" x14ac:dyDescent="0.3">
      <c r="M46" s="33"/>
    </row>
    <row r="47" spans="5:13" x14ac:dyDescent="0.3">
      <c r="M47" s="33"/>
    </row>
    <row r="48" spans="5:13" x14ac:dyDescent="0.3">
      <c r="M48" s="33"/>
    </row>
    <row r="49" spans="13:13" x14ac:dyDescent="0.3">
      <c r="M49" s="33"/>
    </row>
    <row r="50" spans="13:13" x14ac:dyDescent="0.3">
      <c r="M50" s="33"/>
    </row>
    <row r="51" spans="13:13" x14ac:dyDescent="0.3">
      <c r="M51" s="33"/>
    </row>
    <row r="52" spans="13:13" x14ac:dyDescent="0.3">
      <c r="M52" s="33"/>
    </row>
    <row r="53" spans="13:13" x14ac:dyDescent="0.3">
      <c r="M53" s="33"/>
    </row>
    <row r="54" spans="13:13" x14ac:dyDescent="0.3">
      <c r="M54" s="33"/>
    </row>
    <row r="55" spans="13:13" x14ac:dyDescent="0.3">
      <c r="M55" s="33"/>
    </row>
    <row r="56" spans="13:13" x14ac:dyDescent="0.3">
      <c r="M56" s="33"/>
    </row>
    <row r="57" spans="13:13" x14ac:dyDescent="0.3">
      <c r="M57" s="33"/>
    </row>
    <row r="58" spans="13:13" x14ac:dyDescent="0.3">
      <c r="M58" s="33"/>
    </row>
    <row r="59" spans="13:13" x14ac:dyDescent="0.3">
      <c r="M59" s="33"/>
    </row>
    <row r="60" spans="13:13" x14ac:dyDescent="0.3">
      <c r="M60" s="33"/>
    </row>
    <row r="61" spans="13:13" x14ac:dyDescent="0.3">
      <c r="M61" s="33"/>
    </row>
    <row r="62" spans="13:13" x14ac:dyDescent="0.3">
      <c r="M62" s="33"/>
    </row>
    <row r="63" spans="13:13" x14ac:dyDescent="0.3">
      <c r="M63" s="33"/>
    </row>
    <row r="64" spans="13:13" x14ac:dyDescent="0.3">
      <c r="M64" s="33"/>
    </row>
    <row r="65" spans="13:13" x14ac:dyDescent="0.3">
      <c r="M65" s="33"/>
    </row>
    <row r="66" spans="13:13" x14ac:dyDescent="0.3">
      <c r="M66" s="33"/>
    </row>
    <row r="67" spans="13:13" x14ac:dyDescent="0.3">
      <c r="M67" s="33"/>
    </row>
    <row r="68" spans="13:13" x14ac:dyDescent="0.3">
      <c r="M68" s="33"/>
    </row>
    <row r="69" spans="13:13" x14ac:dyDescent="0.3">
      <c r="M69" s="33"/>
    </row>
    <row r="70" spans="13:13" x14ac:dyDescent="0.3">
      <c r="M70" s="33"/>
    </row>
    <row r="71" spans="13:13" x14ac:dyDescent="0.3">
      <c r="M71" s="33"/>
    </row>
    <row r="72" spans="13:13" x14ac:dyDescent="0.3">
      <c r="M72" s="33"/>
    </row>
    <row r="73" spans="13:13" x14ac:dyDescent="0.3">
      <c r="M73" s="33"/>
    </row>
    <row r="74" spans="13:13" x14ac:dyDescent="0.3">
      <c r="M74" s="33"/>
    </row>
    <row r="75" spans="13:13" x14ac:dyDescent="0.3">
      <c r="M75" s="33"/>
    </row>
    <row r="76" spans="13:13" x14ac:dyDescent="0.3">
      <c r="M76" s="33"/>
    </row>
    <row r="77" spans="13:13" x14ac:dyDescent="0.3">
      <c r="M77" s="33"/>
    </row>
    <row r="78" spans="13:13" x14ac:dyDescent="0.3">
      <c r="M78" s="33"/>
    </row>
    <row r="79" spans="13:13" x14ac:dyDescent="0.3">
      <c r="M79" s="33"/>
    </row>
    <row r="80" spans="13:13" x14ac:dyDescent="0.3">
      <c r="M80" s="33"/>
    </row>
    <row r="81" spans="13:13" x14ac:dyDescent="0.3">
      <c r="M81" s="33"/>
    </row>
    <row r="82" spans="13:13" x14ac:dyDescent="0.3">
      <c r="M82" s="33"/>
    </row>
    <row r="83" spans="13:13" x14ac:dyDescent="0.3">
      <c r="M83" s="33"/>
    </row>
    <row r="84" spans="13:13" x14ac:dyDescent="0.3">
      <c r="M84" s="33"/>
    </row>
    <row r="85" spans="13:13" x14ac:dyDescent="0.3">
      <c r="M85" s="33"/>
    </row>
    <row r="86" spans="13:13" x14ac:dyDescent="0.3">
      <c r="M86" s="33"/>
    </row>
    <row r="87" spans="13:13" x14ac:dyDescent="0.3">
      <c r="M87" s="33"/>
    </row>
    <row r="88" spans="13:13" x14ac:dyDescent="0.3">
      <c r="M88" s="33"/>
    </row>
    <row r="89" spans="13:13" x14ac:dyDescent="0.3">
      <c r="M89" s="33"/>
    </row>
    <row r="90" spans="13:13" x14ac:dyDescent="0.3">
      <c r="M90" s="33"/>
    </row>
    <row r="91" spans="13:13" x14ac:dyDescent="0.3">
      <c r="M91" s="33"/>
    </row>
    <row r="92" spans="13:13" x14ac:dyDescent="0.3">
      <c r="M92" s="33"/>
    </row>
    <row r="93" spans="13:13" x14ac:dyDescent="0.3">
      <c r="M93" s="33"/>
    </row>
    <row r="94" spans="13:13" x14ac:dyDescent="0.3">
      <c r="M94" s="33"/>
    </row>
    <row r="95" spans="13:13" x14ac:dyDescent="0.3">
      <c r="M95" s="33"/>
    </row>
    <row r="96" spans="13:13" x14ac:dyDescent="0.3">
      <c r="M96" s="33"/>
    </row>
    <row r="97" spans="13:13" x14ac:dyDescent="0.3">
      <c r="M97" s="33"/>
    </row>
    <row r="98" spans="13:13" x14ac:dyDescent="0.3">
      <c r="M98" s="33"/>
    </row>
    <row r="99" spans="13:13" x14ac:dyDescent="0.3">
      <c r="M99" s="33"/>
    </row>
    <row r="100" spans="13:13" x14ac:dyDescent="0.3">
      <c r="M100" s="33"/>
    </row>
    <row r="101" spans="13:13" x14ac:dyDescent="0.3">
      <c r="M101" s="33"/>
    </row>
    <row r="102" spans="13:13" x14ac:dyDescent="0.3">
      <c r="M102" s="33"/>
    </row>
    <row r="103" spans="13:13" x14ac:dyDescent="0.3">
      <c r="M103" s="33"/>
    </row>
    <row r="104" spans="13:13" x14ac:dyDescent="0.3">
      <c r="M104" s="33"/>
    </row>
    <row r="105" spans="13:13" x14ac:dyDescent="0.3">
      <c r="M105" s="33"/>
    </row>
    <row r="106" spans="13:13" x14ac:dyDescent="0.3">
      <c r="M106" s="33"/>
    </row>
    <row r="107" spans="13:13" x14ac:dyDescent="0.3">
      <c r="M107" s="33"/>
    </row>
    <row r="108" spans="13:13" x14ac:dyDescent="0.3">
      <c r="M108" s="33"/>
    </row>
    <row r="109" spans="13:13" x14ac:dyDescent="0.3">
      <c r="M109" s="33"/>
    </row>
    <row r="110" spans="13:13" x14ac:dyDescent="0.3">
      <c r="M110" s="33"/>
    </row>
    <row r="111" spans="13:13" x14ac:dyDescent="0.3">
      <c r="M111" s="33"/>
    </row>
    <row r="112" spans="13:13" x14ac:dyDescent="0.3">
      <c r="M112" s="33"/>
    </row>
    <row r="113" spans="13:13" x14ac:dyDescent="0.3">
      <c r="M113" s="33"/>
    </row>
    <row r="114" spans="13:13" x14ac:dyDescent="0.3">
      <c r="M114" s="33"/>
    </row>
    <row r="115" spans="13:13" x14ac:dyDescent="0.3">
      <c r="M115" s="33"/>
    </row>
    <row r="116" spans="13:13" x14ac:dyDescent="0.3">
      <c r="M116" s="33"/>
    </row>
    <row r="117" spans="13:13" x14ac:dyDescent="0.3">
      <c r="M117" s="33"/>
    </row>
    <row r="118" spans="13:13" x14ac:dyDescent="0.3">
      <c r="M118" s="33"/>
    </row>
    <row r="119" spans="13:13" x14ac:dyDescent="0.3">
      <c r="M119" s="33"/>
    </row>
    <row r="120" spans="13:13" x14ac:dyDescent="0.3">
      <c r="M120" s="33"/>
    </row>
    <row r="121" spans="13:13" x14ac:dyDescent="0.3">
      <c r="M121" s="33"/>
    </row>
    <row r="122" spans="13:13" x14ac:dyDescent="0.3">
      <c r="M122" s="33"/>
    </row>
    <row r="123" spans="13:13" x14ac:dyDescent="0.3">
      <c r="M123" s="33"/>
    </row>
    <row r="124" spans="13:13" x14ac:dyDescent="0.3">
      <c r="M124" s="33"/>
    </row>
    <row r="125" spans="13:13" x14ac:dyDescent="0.3">
      <c r="M125" s="33"/>
    </row>
  </sheetData>
  <mergeCells count="5">
    <mergeCell ref="A13:B13"/>
    <mergeCell ref="A19:B19"/>
    <mergeCell ref="I2:L2"/>
    <mergeCell ref="E1:L1"/>
    <mergeCell ref="E11:K1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3" name="Button 4">
              <controlPr defaultSize="0" print="0" autoFill="0" autoPict="0" macro="[0]!frontera_eficiente">
                <anchor moveWithCells="1" sizeWithCells="1">
                  <from>
                    <xdr:col>12</xdr:col>
                    <xdr:colOff>152400</xdr:colOff>
                    <xdr:row>1</xdr:row>
                    <xdr:rowOff>167640</xdr:rowOff>
                  </from>
                  <to>
                    <xdr:col>14</xdr:col>
                    <xdr:colOff>563880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Optimization</vt:lpstr>
      <vt:lpstr>Sheet3</vt:lpstr>
      <vt:lpstr>N Assets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Oscar Nicolás Troncoso Morales</dc:creator>
  <cp:lastModifiedBy>Oscar Nicolás Troncoso Morales</cp:lastModifiedBy>
  <dcterms:created xsi:type="dcterms:W3CDTF">2021-09-22T22:31:49Z</dcterms:created>
  <dcterms:modified xsi:type="dcterms:W3CDTF">2022-05-03T00:57:26Z</dcterms:modified>
</cp:coreProperties>
</file>